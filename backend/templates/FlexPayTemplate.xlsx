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90f21bee32ba947/Tài liệu/Ứng lương Gimo/"/>
    </mc:Choice>
  </mc:AlternateContent>
  <xr:revisionPtr revIDLastSave="154" documentId="11_007C159AEE7CD74AC85D2FD34D84A90165E85733" xr6:coauthVersionLast="47" xr6:coauthVersionMax="47" xr10:uidLastSave="{EC15349A-B317-4C53-B14B-356BC4EA8E88}"/>
  <bookViews>
    <workbookView xWindow="-110" yWindow="-110" windowWidth="19420" windowHeight="10300" xr2:uid="{00000000-000D-0000-FFFF-FFFF00000000}"/>
  </bookViews>
  <sheets>
    <sheet name="UL" sheetId="1" r:id="rId1"/>
  </sheets>
  <definedNames>
    <definedName name="_Fill" hidden="1">#REF!</definedName>
    <definedName name="_xlnm._FilterDatabase" localSheetId="0" hidden="1">UL!$A$3:$R$3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nscount" hidden="1">2</definedName>
    <definedName name="cac" hidden="1">#REF!</definedName>
    <definedName name="congchot">#REF!</definedName>
    <definedName name="limcount" hidden="1">1</definedName>
    <definedName name="MaNV">#REF!</definedName>
    <definedName name="Ngaythang">#REF!</definedName>
    <definedName name="Rec.13501.0113" hidden="1">#REF!</definedName>
    <definedName name="sencount" hidden="1">1</definedName>
    <definedName name="wrn.Full." hidden="1">{#N/A,#N/A,FALSE,"JV";#N/A,#N/A,FALSE,"Source"}</definedName>
    <definedName name="wrn.Full._.Findex._.Report." hidden="1">{#N/A,#N/A,TRUE,"Cover Page";#N/A,#N/A,TRUE,"Supply Chain  KPIs";#N/A,#N/A,TRUE,"Conv Cost Comparision";#N/A,#N/A,TRUE,"Inventory-FG";#N/A,#N/A,TRUE,"Inventory-RM";#N/A,#N/A,TRUE,"Inventory-PM";#N/A,#N/A,TRUE,"Inventory-Sparepart";#N/A,"TD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Plants";#N/A,"TD Shampoo Bottle Plant",TRUE,"HPC Plants";#N/A,"TD Shampoo Sachet Plant",TRUE,"HPC Plants";#N/A,"TD Shampoo Plant",TRUE,"HPC Plants";#N/A,"TD Skincare Plant",TRUE,"HPC Plants";#N/A,"TD Showgel Plant",TRUE,"HPC Plants";#N/A,"HV Gel Plant",TRUE,"HPC Plants";#N/A,"TD HHC Plant",TRUE,"HPC Plants";#N/A,"Net South HHC Plant",TRUE,"HPC Plants";#N/A,"Haso2 HHC Plant",TRUE,"HPC Plants";#N/A,"ThienNga HHC Plant",TRUE,"HPC Plants";#N/A,"HV Comfort Sachet Plant",TRUE,"HPC Plants";#N/A,"HV Comfort Bottle Plant",TRUE,"HPC Plants";#N/A,"Hanoi Soap Plant",TRUE,"HPC Plants";#N/A,"EPS Toothpaste Plant",TRUE,"HPC Plants";#N/A,"Foods Tea Plant",TRUE,"HPC Plants";#N/A,"Foods Culinary Plant",TRUE,"HPC Plants";#N/A,"Cico Paste Plant",TRUE,"HPC Plants"}</definedName>
    <definedName name="wrn.HPC._.Budget._._._.LVN._.North." hidden="1">{#N/A,"HPC Budgets-011B",TRUE,"HPC Budgets";#N/A,"HPC Budgets-012B",TRUE,"HPC Budgets";#N/A,"HPC Budgets-013B",TRUE,"HPC Budgets";#N/A,"HPC Budgets-030B",TRUE,"HPC Budgets";#N/A,"HPC Budgets-031B",TRUE,"HPC Budgets";#N/A,"HPC Budgets-032B",TRUE,"HPC Budgets";#N/A,"HPC Budgets-033B",TRUE,"HPC Budgets";#N/A,"HPC Budgets-034B",TRUE,"HPC Budgets"}</definedName>
    <definedName name="wrn.HPC._.Budgets._._LVN._.South." hidden="1">{#N/A,"HPC Budgets-011H",TRUE,"HPC Budgets";#N/A,"HPC Budgets-012H",TRUE,"HPC Budgets";#N/A,"HPC-Budgets-013H",TRUE,"HPC Budgets";#N/A,"HPC-Budgets-030H",TRUE,"HPC Budgets";#N/A,"HPC Budgets-031H",TRUE,"HPC Budgets";#N/A,"HPC Budgets-032H",TRUE,"HPC Budgets";#N/A,"HPC Budget-033H",TRUE,"HPC Budgets";#N/A,"HPC Budget-034H",TRUE,"HPC Budgets";#N/A,"HPC Budgets-035H",TRUE,"HPC Budgets";#N/A,"HPC Budgets-036H",TRUE,"HPC Budgets";#N/A,"HPC Budgets-037H",TRUE,"HPC Budgets";#N/A,"HPC Budgets-038H",TRUE,"HPC Budgets";#N/A,"HPC Budgets-042H",TRUE,"HPC Budgets"}</definedName>
    <definedName name="wrn.Powder._.Sites._.Only." hidden="1">{#N/A,#N/A,TRUE,"Cover Page";#N/A,"TD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Plants"}</definedName>
    <definedName name="wrn.Shampoo._.Sites._.Only." hidden="1">{#N/A,#N/A,TRUE,"Cover Page";#N/A,"TD Shampoo Sachet Plant",TRUE,"HPC Plants";#N/A,"TD Shampoo Bottle Plant",TRUE,"HPC Plants";#N/A,"TD Shampoo Plant",TRUE,"HPC Plants"}</definedName>
    <definedName name="wrn.Stock._.Cover._.KPI._.Report." hidden="1">{#N/A,#N/A,TRUE,"Inventory-FG";#N/A,#N/A,TRUE,"Inventory-RM";#N/A,#N/A,TRUE,"Inventory-PM";#N/A,#N/A,TRUE,"Inventory-Sparepart"}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6" i="1"/>
  <c r="O7" i="1"/>
  <c r="O5" i="1"/>
  <c r="A4" i="1" l="1"/>
  <c r="A5" i="1"/>
</calcChain>
</file>

<file path=xl/sharedStrings.xml><?xml version="1.0" encoding="utf-8"?>
<sst xmlns="http://schemas.openxmlformats.org/spreadsheetml/2006/main" count="90" uniqueCount="61">
  <si>
    <t>STT</t>
  </si>
  <si>
    <t>Mã nhân viên</t>
  </si>
  <si>
    <t>Mã chấm công</t>
  </si>
  <si>
    <t>Nơi đặt máy chấm công</t>
  </si>
  <si>
    <t>Bộ phận</t>
  </si>
  <si>
    <t>Chức vụ</t>
  </si>
  <si>
    <t>Chi nhánh</t>
  </si>
  <si>
    <t>Số điện thoại</t>
  </si>
  <si>
    <t>Họ và tên</t>
  </si>
  <si>
    <t>Chủ tài khoản ngân hàng</t>
  </si>
  <si>
    <t>Số tài khoản ngân hàng</t>
  </si>
  <si>
    <t>Tên ngân hàng</t>
  </si>
  <si>
    <t>Thu nhập</t>
  </si>
  <si>
    <t>Hạn mức ứng</t>
  </si>
  <si>
    <t>Hạn mức ứng qua GIMO</t>
  </si>
  <si>
    <t>Địa chỉ email</t>
  </si>
  <si>
    <t>Số chứng minh thư</t>
  </si>
  <si>
    <t>* Có thể để trống</t>
  </si>
  <si>
    <t>* Bắt buộc</t>
  </si>
  <si>
    <t>Có thể để trống</t>
  </si>
  <si>
    <t>* Không bắt buộc</t>
  </si>
  <si>
    <t>*Mã nhân viên được cấp bởi công ty</t>
  </si>
  <si>
    <t>Mã chấm công trong trường hợp công ty sử dụng máy chấm công hoặc phần mềm chấm công</t>
  </si>
  <si>
    <t>Trường hợp công ty có nhiều chi nhánh với nhiều máy chấm công cần cung cấp nơi đặt</t>
  </si>
  <si>
    <t>Bộ phận làm việc</t>
  </si>
  <si>
    <t>Chức vụ công việc</t>
  </si>
  <si>
    <t>Trường hợp công ty có nhiều chi nhánh hoặc công ty con cần cung cấp thêm chi nhánh</t>
  </si>
  <si>
    <t>Số điện thoại NLD cung cấp cho công ty</t>
  </si>
  <si>
    <t>Họ và tên trên hợp đồng lao động</t>
  </si>
  <si>
    <t>Tài khoản nhận lương</t>
  </si>
  <si>
    <t>Số tài khoản nhận lương</t>
  </si>
  <si>
    <t>Ngân hàng nhận lương</t>
  </si>
  <si>
    <t>Mức thu nhập tích lũy tạm tính tới thời điểm hiện tại</t>
  </si>
  <si>
    <t>Hạn mức được phê duyệt ứng</t>
  </si>
  <si>
    <t>Hạn mức người lao động được ứng qua GIMO</t>
  </si>
  <si>
    <t>Địa chỉ email để gửi các thông tin về dịch vụ</t>
  </si>
  <si>
    <t>Số chứng minh thư định danh người dùng</t>
  </si>
  <si>
    <t>Hải Phòng</t>
  </si>
  <si>
    <t>MSB</t>
  </si>
  <si>
    <t>60%</t>
  </si>
  <si>
    <t>Pantos LGE</t>
  </si>
  <si>
    <t>Thủ kho</t>
  </si>
  <si>
    <t>Lái xe kẹp</t>
  </si>
  <si>
    <t>ĐÀO XUÂN SƠN</t>
  </si>
  <si>
    <t>NGUYỄN TÙNG DƯƠNG</t>
  </si>
  <si>
    <t>0398367449</t>
  </si>
  <si>
    <t>031091004163</t>
  </si>
  <si>
    <t>NGUYỄN VIẾT TÚ</t>
  </si>
  <si>
    <t>6810041998</t>
  </si>
  <si>
    <t>Mbbank</t>
  </si>
  <si>
    <t>Scan</t>
  </si>
  <si>
    <t>031098003589</t>
  </si>
  <si>
    <t>0926266186</t>
  </si>
  <si>
    <t>0385623613</t>
  </si>
  <si>
    <t>NGUYỄN NGỌC LONG</t>
  </si>
  <si>
    <t>0985680794</t>
  </si>
  <si>
    <t>031200001883</t>
  </si>
  <si>
    <t>030201006737</t>
  </si>
  <si>
    <t>0967824689</t>
  </si>
  <si>
    <t>80000091218</t>
  </si>
  <si>
    <t>80001733503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</si>
</sst>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166" fontId="1" fillId="0" borderId="0" applyFont="0" applyFill="0" applyBorder="0" applyAlignment="0" applyProtection="0"/>
    <xf numFmtId="0" fontId="6" fillId="0" borderId="0">
      <alignment vertical="center"/>
    </xf>
    <xf numFmtId="164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 applyNumberFormat="0" applyFont="0" applyFill="0" applyBorder="0" applyProtection="0"/>
    <xf numFmtId="166" fontId="5" fillId="0" borderId="0" applyFont="0" applyFill="0" applyBorder="0" applyAlignment="0" applyProtection="0"/>
    <xf numFmtId="0" fontId="10" fillId="0" borderId="0">
      <alignment vertical="top"/>
    </xf>
  </cellStyleXfs>
  <cellXfs count="33">
    <xf numFmtId="0" fontId="0" fillId="0" borderId="0" xfId="0"/>
    <xf numFmtId="49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37" fontId="2" fillId="2" borderId="1" xfId="1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49" fontId="4" fillId="3" borderId="1" xfId="0" applyNumberFormat="1" applyFont="1" applyFill="1" applyBorder="1" applyAlignment="1">
      <alignment horizontal="center" wrapText="1"/>
    </xf>
    <xf numFmtId="49" fontId="4" fillId="3" borderId="2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37" fontId="4" fillId="3" borderId="1" xfId="1" applyNumberFormat="1" applyFont="1" applyFill="1" applyBorder="1" applyAlignment="1">
      <alignment horizontal="center" wrapText="1"/>
    </xf>
    <xf numFmtId="3" fontId="4" fillId="3" borderId="1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7" fontId="0" fillId="4" borderId="1" xfId="1" applyNumberFormat="1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37" fontId="3" fillId="0" borderId="1" xfId="1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37" fontId="3" fillId="0" borderId="0" xfId="1" applyNumberFormat="1" applyFont="1" applyAlignment="1">
      <alignment horizont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</cellXfs>
  <cellStyles count="12">
    <cellStyle name="Comma" xfId="1" builtinId="3"/>
    <cellStyle name="Comma 2 2" xfId="4" xr:uid="{00000000-0005-0000-0000-000001000000}"/>
    <cellStyle name="Comma 2 4" xfId="10" xr:uid="{E99843B3-7FB0-48FD-AD37-E48F634F5313}"/>
    <cellStyle name="Comma 3" xfId="6" xr:uid="{00000000-0005-0000-0000-000002000000}"/>
    <cellStyle name="Normal" xfId="0" builtinId="0"/>
    <cellStyle name="Normal 2" xfId="2" xr:uid="{00000000-0005-0000-0000-000004000000}"/>
    <cellStyle name="Normal 2 2 2" xfId="3" xr:uid="{00000000-0005-0000-0000-000005000000}"/>
    <cellStyle name="Normal 3" xfId="7" xr:uid="{00000000-0005-0000-0000-000006000000}"/>
    <cellStyle name="Normal 4" xfId="9" xr:uid="{00000000-0005-0000-0000-000007000000}"/>
    <cellStyle name="Normal 4 3" xfId="11" xr:uid="{9030DCD4-528F-4005-9E77-4C548FEF6143}"/>
    <cellStyle name="Normal 6" xfId="5" xr:uid="{00000000-0005-0000-0000-000008000000}"/>
    <cellStyle name="Normal 7" xfId="8" xr:uid="{00000000-0005-0000-0000-000009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zoomScale="70" zoomScaleNormal="70" workbookViewId="0">
      <pane ySplit="3" topLeftCell="A4" activePane="bottomLeft" state="frozen"/>
      <selection activeCell="C54" sqref="C54"/>
      <selection pane="bottomLeft" activeCell="Q9" sqref="Q9"/>
    </sheetView>
  </sheetViews>
  <sheetFormatPr defaultColWidth="8.6328125" defaultRowHeight="15.5" x14ac:dyDescent="0.35"/>
  <cols>
    <col min="1" max="1" width="7.7265625" style="26" customWidth="1"/>
    <col min="2" max="2" width="21.453125" style="26" customWidth="1"/>
    <col min="3" max="4" width="11.81640625" style="26" customWidth="1"/>
    <col min="5" max="5" width="20.90625" style="26" customWidth="1"/>
    <col min="6" max="6" width="22.08984375" style="26" customWidth="1"/>
    <col min="7" max="7" width="15.453125" style="26" customWidth="1"/>
    <col min="8" max="8" width="18.36328125" style="27" customWidth="1"/>
    <col min="9" max="9" width="25.26953125" style="26" customWidth="1"/>
    <col min="10" max="10" width="23.1796875" style="26" customWidth="1"/>
    <col min="11" max="11" width="23" style="27" customWidth="1"/>
    <col min="12" max="12" width="19.453125" style="26" customWidth="1"/>
    <col min="13" max="13" width="21.08984375" style="29" customWidth="1"/>
    <col min="14" max="14" width="12.08984375" style="26" customWidth="1"/>
    <col min="15" max="15" width="19.08984375" style="28" customWidth="1"/>
    <col min="16" max="16" width="19.08984375" style="26" customWidth="1"/>
    <col min="17" max="17" width="34.6328125" style="27" customWidth="1"/>
    <col min="18" max="18" width="12.36328125" style="5" bestFit="1" customWidth="1"/>
    <col min="19" max="19" width="11.54296875" style="5" bestFit="1" customWidth="1"/>
    <col min="20" max="16384" width="8.6328125" style="5"/>
  </cols>
  <sheetData>
    <row r="1" spans="1:18" ht="32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1" t="s">
        <v>15</v>
      </c>
      <c r="Q1" s="2" t="s">
        <v>16</v>
      </c>
    </row>
    <row r="2" spans="1:18" s="11" customFormat="1" ht="43.5" x14ac:dyDescent="0.35">
      <c r="A2" s="6" t="s">
        <v>17</v>
      </c>
      <c r="B2" s="7" t="s">
        <v>18</v>
      </c>
      <c r="C2" s="6" t="s">
        <v>19</v>
      </c>
      <c r="D2" s="6" t="s">
        <v>19</v>
      </c>
      <c r="E2" s="6" t="s">
        <v>18</v>
      </c>
      <c r="F2" s="6" t="s">
        <v>18</v>
      </c>
      <c r="G2" s="6" t="s">
        <v>19</v>
      </c>
      <c r="H2" s="7" t="s">
        <v>18</v>
      </c>
      <c r="I2" s="7" t="s">
        <v>18</v>
      </c>
      <c r="J2" s="6" t="s">
        <v>18</v>
      </c>
      <c r="K2" s="8" t="s">
        <v>18</v>
      </c>
      <c r="L2" s="6" t="s">
        <v>18</v>
      </c>
      <c r="M2" s="9" t="s">
        <v>18</v>
      </c>
      <c r="N2" s="6" t="s">
        <v>20</v>
      </c>
      <c r="O2" s="10" t="s">
        <v>18</v>
      </c>
      <c r="P2" s="6" t="s">
        <v>20</v>
      </c>
      <c r="Q2" s="8" t="s">
        <v>20</v>
      </c>
    </row>
    <row r="3" spans="1:18" s="18" customFormat="1" ht="147.5" customHeight="1" x14ac:dyDescent="0.35">
      <c r="A3" s="12"/>
      <c r="B3" s="12" t="s">
        <v>21</v>
      </c>
      <c r="C3" s="13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4" t="s">
        <v>30</v>
      </c>
      <c r="L3" s="12" t="s">
        <v>31</v>
      </c>
      <c r="M3" s="15" t="s">
        <v>32</v>
      </c>
      <c r="N3" s="12" t="s">
        <v>33</v>
      </c>
      <c r="O3" s="16" t="s">
        <v>34</v>
      </c>
      <c r="P3" s="12" t="s">
        <v>35</v>
      </c>
      <c r="Q3" s="14" t="s">
        <v>36</v>
      </c>
      <c r="R3" s="17"/>
    </row>
    <row r="4" spans="1:18" x14ac:dyDescent="0.35">
      <c r="A4" s="19">
        <f xml:space="preserve"> _xlfn.AGGREGATE(3,3,$B$4:B4)</f>
        <v>1</v>
      </c>
      <c r="B4" s="31" t="s">
        <v>46</v>
      </c>
      <c r="C4" s="25"/>
      <c r="D4" s="25"/>
      <c r="E4" s="20" t="s">
        <v>40</v>
      </c>
      <c r="F4" s="30" t="s">
        <v>41</v>
      </c>
      <c r="G4" s="20" t="s">
        <v>37</v>
      </c>
      <c r="H4" s="20" t="s">
        <v>52</v>
      </c>
      <c r="I4" s="21" t="s">
        <v>43</v>
      </c>
      <c r="J4" s="21" t="s">
        <v>43</v>
      </c>
      <c r="K4" s="32" t="s">
        <v>59</v>
      </c>
      <c r="L4" s="21" t="s">
        <v>38</v>
      </c>
      <c r="M4" s="22">
        <v>4364576</v>
      </c>
      <c r="N4" s="20" t="s">
        <v>39</v>
      </c>
      <c r="O4" s="23">
        <f>M4*N4</f>
        <v>2618745.6</v>
      </c>
      <c r="P4" s="24"/>
      <c r="Q4" s="25"/>
    </row>
    <row r="5" spans="1:18" x14ac:dyDescent="0.35">
      <c r="A5" s="19">
        <f xml:space="preserve"> _xlfn.AGGREGATE(3,3,$B$4:B5)</f>
        <v>2</v>
      </c>
      <c r="B5" s="31" t="s">
        <v>57</v>
      </c>
      <c r="C5" s="25"/>
      <c r="D5" s="25"/>
      <c r="E5" s="20" t="s">
        <v>40</v>
      </c>
      <c r="F5" s="30" t="s">
        <v>42</v>
      </c>
      <c r="G5" s="20" t="s">
        <v>37</v>
      </c>
      <c r="H5" s="20" t="s">
        <v>45</v>
      </c>
      <c r="I5" s="21" t="s">
        <v>44</v>
      </c>
      <c r="J5" s="21" t="s">
        <v>44</v>
      </c>
      <c r="K5" s="32" t="s">
        <v>60</v>
      </c>
      <c r="L5" s="21" t="s">
        <v>38</v>
      </c>
      <c r="M5" s="22">
        <v>3823358.6363636367</v>
      </c>
      <c r="N5" s="20" t="s">
        <v>39</v>
      </c>
      <c r="O5" s="23">
        <f t="shared" ref="O5:O7" si="0">M5*N5</f>
        <v>2294015.1818181821</v>
      </c>
      <c r="P5" s="24"/>
      <c r="Q5" s="25"/>
    </row>
    <row r="6" spans="1:18" x14ac:dyDescent="0.35">
      <c r="A6" s="19"/>
      <c r="B6" s="31" t="s">
        <v>51</v>
      </c>
      <c r="C6" s="25"/>
      <c r="D6" s="25"/>
      <c r="E6" s="20" t="s">
        <v>40</v>
      </c>
      <c r="F6" s="30" t="s">
        <v>42</v>
      </c>
      <c r="G6" s="20" t="s">
        <v>37</v>
      </c>
      <c r="H6" s="20" t="s">
        <v>53</v>
      </c>
      <c r="I6" s="21" t="s">
        <v>47</v>
      </c>
      <c r="J6" s="21" t="s">
        <v>47</v>
      </c>
      <c r="K6" s="32" t="s">
        <v>48</v>
      </c>
      <c r="L6" s="21" t="s">
        <v>49</v>
      </c>
      <c r="M6" s="22">
        <v>3563915.7272727271</v>
      </c>
      <c r="N6" s="20" t="s">
        <v>39</v>
      </c>
      <c r="O6" s="23">
        <f>M6*N6</f>
        <v>2138349.4363636361</v>
      </c>
      <c r="P6" s="24"/>
      <c r="Q6" s="25"/>
    </row>
    <row r="7" spans="1:18" x14ac:dyDescent="0.35">
      <c r="A7" s="19"/>
      <c r="B7" s="31" t="s">
        <v>56</v>
      </c>
      <c r="C7" s="25"/>
      <c r="D7" s="25"/>
      <c r="E7" s="20" t="s">
        <v>40</v>
      </c>
      <c r="F7" s="30" t="s">
        <v>50</v>
      </c>
      <c r="G7" s="20" t="s">
        <v>37</v>
      </c>
      <c r="H7" s="20" t="s">
        <v>58</v>
      </c>
      <c r="I7" s="21" t="s">
        <v>54</v>
      </c>
      <c r="J7" s="21" t="s">
        <v>54</v>
      </c>
      <c r="K7" s="32" t="s">
        <v>55</v>
      </c>
      <c r="L7" s="21" t="s">
        <v>49</v>
      </c>
      <c r="M7" s="22">
        <v>3773076.8181818184</v>
      </c>
      <c r="N7" s="20" t="s">
        <v>39</v>
      </c>
      <c r="O7" s="23">
        <f t="shared" si="0"/>
        <v>2263846.0909090908</v>
      </c>
      <c r="P7" s="24"/>
      <c r="Q7" s="25"/>
    </row>
  </sheetData>
  <autoFilter ref="A3:R3" xr:uid="{00000000-0009-0000-0000-000000000000}"/>
  <phoneticPr fontId="9" type="noConversion"/>
  <conditionalFormatting sqref="B8:B1048576 B1:B3">
    <cfRule type="duplicateValues" dxfId="10" priority="287"/>
    <cfRule type="duplicateValues" dxfId="9" priority="288"/>
    <cfRule type="duplicateValues" dxfId="8" priority="289"/>
  </conditionalFormatting>
  <conditionalFormatting sqref="B8:B1048576">
    <cfRule type="duplicateValues" dxfId="7" priority="300"/>
  </conditionalFormatting>
  <conditionalFormatting sqref="B8:C1048576 B1:C3 C4:C7">
    <cfRule type="duplicateValues" dxfId="6" priority="302"/>
  </conditionalFormatting>
  <conditionalFormatting sqref="H8:H1048576 H1:H3">
    <cfRule type="duplicateValues" dxfId="5" priority="190"/>
  </conditionalFormatting>
  <conditionalFormatting sqref="P8:P1048576 B8:B1048576 B1:B3 P1:P3">
    <cfRule type="duplicateValues" dxfId="4" priority="157"/>
  </conditionalFormatting>
  <conditionalFormatting sqref="P8:P1048576 B8:B1048576 P1:P3 B1:B3">
    <cfRule type="duplicateValues" dxfId="3" priority="164"/>
  </conditionalFormatting>
  <conditionalFormatting sqref="B4:B7">
    <cfRule type="duplicateValues" dxfId="2" priority="385"/>
  </conditionalFormatting>
  <conditionalFormatting sqref="K4:K7">
    <cfRule type="duplicateValues" dxfId="1" priority="387"/>
  </conditionalFormatting>
  <conditionalFormatting sqref="P4:Q7">
    <cfRule type="duplicateValues" dxfId="0" priority="389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Thủy Tiên Nguyễn</cp:lastModifiedBy>
  <dcterms:created xsi:type="dcterms:W3CDTF">2025-03-24T04:10:09Z</dcterms:created>
  <dcterms:modified xsi:type="dcterms:W3CDTF">2026-03-06T09:19:46Z</dcterms:modified>
</cp:coreProperties>
</file>