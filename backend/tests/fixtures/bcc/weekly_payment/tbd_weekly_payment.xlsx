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Bảng chấm công\"/>
    </mc:Choice>
  </mc:AlternateContent>
  <xr:revisionPtr revIDLastSave="0" documentId="13_ncr:1_{D599DE72-782C-47ED-AB8F-B82A6DF29119}" xr6:coauthVersionLast="47" xr6:coauthVersionMax="47" xr10:uidLastSave="{00000000-0000-0000-0000-000000000000}"/>
  <bookViews>
    <workbookView xWindow="-108" yWindow="-108" windowWidth="23256" windowHeight="13896" tabRatio="705" activeTab="6" xr2:uid="{00000000-000D-0000-FFFF-FFFF00000000}"/>
  </bookViews>
  <sheets>
    <sheet name="Lương 500" sheetId="25" r:id="rId1"/>
    <sheet name="Lương 520" sheetId="26" r:id="rId2"/>
    <sheet name="Lương 700" sheetId="24" r:id="rId3"/>
    <sheet name="Lương 750" sheetId="18" r:id="rId4"/>
    <sheet name="Lương 800" sheetId="23" r:id="rId5"/>
    <sheet name="Lương 900" sheetId="22" r:id="rId6"/>
    <sheet name="STK" sheetId="19" r:id="rId7"/>
  </sheets>
  <definedNames>
    <definedName name="_xlnm._FilterDatabase" localSheetId="3" hidden="1">'Lương 750'!$A$10:$BH$26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3" i="26" l="1"/>
  <c r="BS22" i="26"/>
  <c r="BR22" i="26"/>
  <c r="BQ22" i="26"/>
  <c r="BP22" i="26"/>
  <c r="BS21" i="26"/>
  <c r="BR21" i="26"/>
  <c r="BQ21" i="26"/>
  <c r="BP21" i="26"/>
  <c r="BS20" i="26"/>
  <c r="BR20" i="26"/>
  <c r="BQ20" i="26"/>
  <c r="BP20" i="26"/>
  <c r="BS17" i="26"/>
  <c r="BR17" i="26"/>
  <c r="BQ17" i="26"/>
  <c r="BP17" i="26"/>
  <c r="BS16" i="26"/>
  <c r="BR16" i="26"/>
  <c r="BQ16" i="26"/>
  <c r="BP16" i="26"/>
  <c r="BS15" i="26"/>
  <c r="BR15" i="26"/>
  <c r="BQ15" i="26"/>
  <c r="BP15" i="26"/>
  <c r="BS14" i="26"/>
  <c r="BR14" i="26"/>
  <c r="BQ14" i="26"/>
  <c r="BP14" i="26"/>
  <c r="BS13" i="26"/>
  <c r="BR13" i="26"/>
  <c r="BQ13" i="26"/>
  <c r="BP13" i="26"/>
  <c r="BP12" i="26"/>
  <c r="BS11" i="26"/>
  <c r="BR11" i="26"/>
  <c r="BQ11" i="26"/>
  <c r="BP11" i="26"/>
  <c r="BP12" i="25"/>
  <c r="BP13" i="18"/>
  <c r="BP14" i="18"/>
  <c r="BQ23" i="26" l="1"/>
  <c r="BR23" i="26"/>
  <c r="BS23" i="26"/>
  <c r="BP23" i="26"/>
  <c r="BT21" i="25"/>
  <c r="BS20" i="25"/>
  <c r="BR20" i="25"/>
  <c r="BQ20" i="25"/>
  <c r="BP20" i="25"/>
  <c r="BS19" i="25"/>
  <c r="BR19" i="25"/>
  <c r="BQ19" i="25"/>
  <c r="BP19" i="25"/>
  <c r="BS18" i="25"/>
  <c r="BR18" i="25"/>
  <c r="BQ18" i="25"/>
  <c r="BP18" i="25"/>
  <c r="BS17" i="25"/>
  <c r="BR17" i="25"/>
  <c r="BQ17" i="25"/>
  <c r="BP17" i="25"/>
  <c r="BS16" i="25"/>
  <c r="BR16" i="25"/>
  <c r="BQ16" i="25"/>
  <c r="BP16" i="25"/>
  <c r="BS15" i="25"/>
  <c r="BR15" i="25"/>
  <c r="BQ15" i="25"/>
  <c r="BP15" i="25"/>
  <c r="BS14" i="25"/>
  <c r="BR14" i="25"/>
  <c r="BQ14" i="25"/>
  <c r="BP14" i="25"/>
  <c r="BS13" i="25"/>
  <c r="BR13" i="25"/>
  <c r="BQ13" i="25"/>
  <c r="BP13" i="25"/>
  <c r="BS11" i="25"/>
  <c r="BR11" i="25"/>
  <c r="BQ11" i="25"/>
  <c r="BP11" i="25"/>
  <c r="BP12" i="18"/>
  <c r="BP21" i="25" l="1"/>
  <c r="BQ21" i="25"/>
  <c r="BR21" i="25"/>
  <c r="BS21" i="25"/>
  <c r="BT26" i="24"/>
  <c r="BS25" i="24"/>
  <c r="BR25" i="24"/>
  <c r="BQ25" i="24"/>
  <c r="BP25" i="24"/>
  <c r="BS24" i="24"/>
  <c r="BR24" i="24"/>
  <c r="BQ24" i="24"/>
  <c r="BP24" i="24"/>
  <c r="BS23" i="24"/>
  <c r="BR23" i="24"/>
  <c r="BQ23" i="24"/>
  <c r="BP23" i="24"/>
  <c r="BS22" i="24"/>
  <c r="BR22" i="24"/>
  <c r="BQ22" i="24"/>
  <c r="BP22" i="24"/>
  <c r="BS21" i="24"/>
  <c r="BR21" i="24"/>
  <c r="BQ21" i="24"/>
  <c r="BP21" i="24"/>
  <c r="BS20" i="24"/>
  <c r="BR20" i="24"/>
  <c r="BQ20" i="24"/>
  <c r="BP20" i="24"/>
  <c r="BS19" i="24"/>
  <c r="BR19" i="24"/>
  <c r="BQ19" i="24"/>
  <c r="BP19" i="24"/>
  <c r="BS18" i="24"/>
  <c r="BR18" i="24"/>
  <c r="BQ18" i="24"/>
  <c r="BP18" i="24"/>
  <c r="BS17" i="24"/>
  <c r="BR17" i="24"/>
  <c r="BQ17" i="24"/>
  <c r="BP17" i="24"/>
  <c r="BS16" i="24"/>
  <c r="BR16" i="24"/>
  <c r="BQ16" i="24"/>
  <c r="BP16" i="24"/>
  <c r="BS15" i="24"/>
  <c r="BR15" i="24"/>
  <c r="BQ15" i="24"/>
  <c r="BP15" i="24"/>
  <c r="BS14" i="24"/>
  <c r="BR14" i="24"/>
  <c r="BQ14" i="24"/>
  <c r="BP14" i="24"/>
  <c r="BS13" i="24"/>
  <c r="BR13" i="24"/>
  <c r="BQ13" i="24"/>
  <c r="BP13" i="24"/>
  <c r="BS12" i="24"/>
  <c r="BR12" i="24"/>
  <c r="BQ12" i="24"/>
  <c r="BP12" i="24"/>
  <c r="BS11" i="24"/>
  <c r="BR11" i="24"/>
  <c r="BQ11" i="24"/>
  <c r="BP11" i="24"/>
  <c r="BT26" i="23"/>
  <c r="BS25" i="23"/>
  <c r="BR25" i="23"/>
  <c r="BQ25" i="23"/>
  <c r="BP25" i="23"/>
  <c r="BS24" i="23"/>
  <c r="BR24" i="23"/>
  <c r="BQ24" i="23"/>
  <c r="BP24" i="23"/>
  <c r="BS23" i="23"/>
  <c r="BR23" i="23"/>
  <c r="BQ23" i="23"/>
  <c r="BP23" i="23"/>
  <c r="BS22" i="23"/>
  <c r="BR22" i="23"/>
  <c r="BQ22" i="23"/>
  <c r="BP22" i="23"/>
  <c r="BS21" i="23"/>
  <c r="BR21" i="23"/>
  <c r="BQ21" i="23"/>
  <c r="BP21" i="23"/>
  <c r="BS20" i="23"/>
  <c r="BR20" i="23"/>
  <c r="BQ20" i="23"/>
  <c r="BP20" i="23"/>
  <c r="BS19" i="23"/>
  <c r="BR19" i="23"/>
  <c r="BQ19" i="23"/>
  <c r="BP19" i="23"/>
  <c r="BS18" i="23"/>
  <c r="BR18" i="23"/>
  <c r="BQ18" i="23"/>
  <c r="BP18" i="23"/>
  <c r="BS17" i="23"/>
  <c r="BR17" i="23"/>
  <c r="BQ17" i="23"/>
  <c r="BP17" i="23"/>
  <c r="BS16" i="23"/>
  <c r="BR16" i="23"/>
  <c r="BQ16" i="23"/>
  <c r="BP16" i="23"/>
  <c r="BS15" i="23"/>
  <c r="BR15" i="23"/>
  <c r="BQ15" i="23"/>
  <c r="BP15" i="23"/>
  <c r="BS14" i="23"/>
  <c r="BR14" i="23"/>
  <c r="BQ14" i="23"/>
  <c r="BP14" i="23"/>
  <c r="BS13" i="23"/>
  <c r="BR13" i="23"/>
  <c r="BQ13" i="23"/>
  <c r="BP13" i="23"/>
  <c r="BS12" i="23"/>
  <c r="BR12" i="23"/>
  <c r="BQ12" i="23"/>
  <c r="BP12" i="23"/>
  <c r="BS11" i="23"/>
  <c r="BR11" i="23"/>
  <c r="BQ11" i="23"/>
  <c r="BP11" i="23"/>
  <c r="BQ26" i="24" l="1"/>
  <c r="BP26" i="24"/>
  <c r="BS26" i="24"/>
  <c r="BR26" i="24"/>
  <c r="BR26" i="23"/>
  <c r="BS26" i="23"/>
  <c r="BP26" i="23"/>
  <c r="BQ26" i="23"/>
  <c r="BT26" i="22"/>
  <c r="BS25" i="22"/>
  <c r="BR25" i="22"/>
  <c r="BQ25" i="22"/>
  <c r="BP25" i="22"/>
  <c r="BS24" i="22"/>
  <c r="BR24" i="22"/>
  <c r="BQ24" i="22"/>
  <c r="BP24" i="22"/>
  <c r="BS23" i="22"/>
  <c r="BR23" i="22"/>
  <c r="BQ23" i="22"/>
  <c r="BP23" i="22"/>
  <c r="BS22" i="22"/>
  <c r="BR22" i="22"/>
  <c r="BQ22" i="22"/>
  <c r="BP22" i="22"/>
  <c r="BS21" i="22"/>
  <c r="BR21" i="22"/>
  <c r="BQ21" i="22"/>
  <c r="BP21" i="22"/>
  <c r="BS20" i="22"/>
  <c r="BR20" i="22"/>
  <c r="BQ20" i="22"/>
  <c r="BP20" i="22"/>
  <c r="BS19" i="22"/>
  <c r="BR19" i="22"/>
  <c r="BQ19" i="22"/>
  <c r="BP19" i="22"/>
  <c r="BS18" i="22"/>
  <c r="BR18" i="22"/>
  <c r="BQ18" i="22"/>
  <c r="BP18" i="22"/>
  <c r="BS17" i="22"/>
  <c r="BR17" i="22"/>
  <c r="BQ17" i="22"/>
  <c r="BP17" i="22"/>
  <c r="BS16" i="22"/>
  <c r="BR16" i="22"/>
  <c r="BQ16" i="22"/>
  <c r="BP16" i="22"/>
  <c r="BS15" i="22"/>
  <c r="BR15" i="22"/>
  <c r="BQ15" i="22"/>
  <c r="BP15" i="22"/>
  <c r="BS14" i="22"/>
  <c r="BR14" i="22"/>
  <c r="BQ14" i="22"/>
  <c r="BP14" i="22"/>
  <c r="BS13" i="22"/>
  <c r="BR13" i="22"/>
  <c r="BQ13" i="22"/>
  <c r="BP13" i="22"/>
  <c r="BS12" i="22"/>
  <c r="BR12" i="22"/>
  <c r="BQ12" i="22"/>
  <c r="BP12" i="22"/>
  <c r="BS11" i="22"/>
  <c r="BR11" i="22"/>
  <c r="BR26" i="22" s="1"/>
  <c r="BQ11" i="22"/>
  <c r="BP11" i="22"/>
  <c r="BS25" i="18"/>
  <c r="BR25" i="18"/>
  <c r="BQ25" i="18"/>
  <c r="BP25" i="18"/>
  <c r="BS24" i="18"/>
  <c r="BR24" i="18"/>
  <c r="BQ24" i="18"/>
  <c r="BP24" i="18"/>
  <c r="BS23" i="18"/>
  <c r="BR23" i="18"/>
  <c r="BQ23" i="18"/>
  <c r="BP23" i="18"/>
  <c r="BS22" i="18"/>
  <c r="BR22" i="18"/>
  <c r="BQ22" i="18"/>
  <c r="BP22" i="18"/>
  <c r="BS21" i="18"/>
  <c r="BR21" i="18"/>
  <c r="BQ21" i="18"/>
  <c r="BP21" i="18"/>
  <c r="BS20" i="18"/>
  <c r="BR20" i="18"/>
  <c r="BQ20" i="18"/>
  <c r="BP20" i="18"/>
  <c r="BS19" i="18"/>
  <c r="BR19" i="18"/>
  <c r="BQ19" i="18"/>
  <c r="BP19" i="18"/>
  <c r="BS18" i="18"/>
  <c r="BR18" i="18"/>
  <c r="BQ18" i="18"/>
  <c r="BP18" i="18"/>
  <c r="BS17" i="18"/>
  <c r="BR17" i="18"/>
  <c r="BQ17" i="18"/>
  <c r="BP17" i="18"/>
  <c r="BS16" i="18"/>
  <c r="BR16" i="18"/>
  <c r="BQ16" i="18"/>
  <c r="BP16" i="18"/>
  <c r="BS15" i="18"/>
  <c r="BR15" i="18"/>
  <c r="BQ15" i="18"/>
  <c r="BP15" i="18"/>
  <c r="BS14" i="18"/>
  <c r="BR14" i="18"/>
  <c r="BQ14" i="18"/>
  <c r="BS13" i="18"/>
  <c r="BR13" i="18"/>
  <c r="BQ13" i="18"/>
  <c r="BS12" i="18"/>
  <c r="BR12" i="18"/>
  <c r="BQ12" i="18"/>
  <c r="BS11" i="18"/>
  <c r="BR11" i="18"/>
  <c r="BQ11" i="18"/>
  <c r="BP11" i="18"/>
  <c r="BP26" i="22" l="1"/>
  <c r="BS26" i="22"/>
  <c r="BQ26" i="22"/>
  <c r="BQ26" i="18"/>
  <c r="BS26" i="18"/>
  <c r="BP26" i="18"/>
  <c r="BT26" i="18"/>
  <c r="BR26" i="18"/>
</calcChain>
</file>

<file path=xl/sharedStrings.xml><?xml version="1.0" encoding="utf-8"?>
<sst xmlns="http://schemas.openxmlformats.org/spreadsheetml/2006/main" count="975" uniqueCount="163">
  <si>
    <t>STT</t>
  </si>
  <si>
    <t>Công ty Cổ phần Quốc tế Thương mại và Dịch vụ Việt Pháp</t>
  </si>
  <si>
    <t>MST: 0201307104</t>
  </si>
  <si>
    <t>Địa chỉ: Số 12 Lô 18D Lê Hồng Phong, P.Đằng Lâm, Q.Hải An, Hải Phòng</t>
  </si>
  <si>
    <t>Tổng cộng</t>
  </si>
  <si>
    <t>Mã nhân viên</t>
  </si>
  <si>
    <t>Họ và tên</t>
  </si>
  <si>
    <t>Tổng hợp</t>
  </si>
  <si>
    <t>T2</t>
  </si>
  <si>
    <t>T3</t>
  </si>
  <si>
    <t>T4</t>
  </si>
  <si>
    <t>T5</t>
  </si>
  <si>
    <t>T6</t>
  </si>
  <si>
    <t>T7</t>
  </si>
  <si>
    <t>CN</t>
  </si>
  <si>
    <t>Người lập biểu</t>
  </si>
  <si>
    <t>( Ký &amp; ghi rõ họ tên )</t>
  </si>
  <si>
    <t>Ghi chú</t>
  </si>
  <si>
    <t>HC</t>
  </si>
  <si>
    <t>TCN</t>
  </si>
  <si>
    <t>NN</t>
  </si>
  <si>
    <t>TCNN</t>
  </si>
  <si>
    <t>Nguyễn Văn Cường</t>
  </si>
  <si>
    <t>Suất ăn tăng ca</t>
  </si>
  <si>
    <t>Tên</t>
  </si>
  <si>
    <t>Stk</t>
  </si>
  <si>
    <t>01</t>
  </si>
  <si>
    <t>02</t>
  </si>
  <si>
    <t>03</t>
  </si>
  <si>
    <t>04</t>
  </si>
  <si>
    <t>05</t>
  </si>
  <si>
    <t>06</t>
  </si>
  <si>
    <t>07</t>
  </si>
  <si>
    <t>Stt</t>
  </si>
  <si>
    <t>Ngân Hàng</t>
  </si>
  <si>
    <t>08</t>
  </si>
  <si>
    <t>09</t>
  </si>
  <si>
    <t>10</t>
  </si>
  <si>
    <t>11</t>
  </si>
  <si>
    <t>12</t>
  </si>
  <si>
    <t>13</t>
  </si>
  <si>
    <t>14</t>
  </si>
  <si>
    <t>15</t>
  </si>
  <si>
    <t>BẢNG CHẤM CÔNG THÁNG 07/2026</t>
  </si>
  <si>
    <t>Phạm Văn Vương</t>
  </si>
  <si>
    <t>Bộ phận</t>
  </si>
  <si>
    <t>Thợ hàn CO2 3G</t>
  </si>
  <si>
    <t>Lương 8h</t>
  </si>
  <si>
    <t xml:space="preserve">SỐ TÀI KHOẢN </t>
  </si>
  <si>
    <t>030084017892</t>
  </si>
  <si>
    <t>1036898596</t>
  </si>
  <si>
    <t>Vietcombank</t>
  </si>
  <si>
    <t>BIDV</t>
  </si>
  <si>
    <t>Chu Hữu Quyết</t>
  </si>
  <si>
    <t>Thợ hàn 6G</t>
  </si>
  <si>
    <t>Nguyễn Văn Hoàn</t>
  </si>
  <si>
    <t>031091004353</t>
  </si>
  <si>
    <t>Đèo Văn Mơi</t>
  </si>
  <si>
    <t>012097002916</t>
  </si>
  <si>
    <t>038089053247</t>
  </si>
  <si>
    <t>VietinBank</t>
  </si>
  <si>
    <t>MB</t>
  </si>
  <si>
    <t>1807026789</t>
  </si>
  <si>
    <t>Techcombank</t>
  </si>
  <si>
    <t>042089005176</t>
  </si>
  <si>
    <t>Nguyễn Xuân Chinh</t>
  </si>
  <si>
    <t>9371989888</t>
  </si>
  <si>
    <t>9397347411</t>
  </si>
  <si>
    <t>040090002913</t>
  </si>
  <si>
    <t>Lê Văn Thuật</t>
  </si>
  <si>
    <t>5141105994</t>
  </si>
  <si>
    <t>UT chụp phim</t>
  </si>
  <si>
    <t>đang làm việc</t>
  </si>
  <si>
    <t>Đang làm việc</t>
  </si>
  <si>
    <t>031090004734</t>
  </si>
  <si>
    <t>Tạ Văn Linh</t>
  </si>
  <si>
    <t>002200003806</t>
  </si>
  <si>
    <t>Hoàng Trung Quân</t>
  </si>
  <si>
    <t>030073016990</t>
  </si>
  <si>
    <t>Nguyễn Trung Thủy</t>
  </si>
  <si>
    <t>031075002741</t>
  </si>
  <si>
    <t>Hoàng Văn Khoắc</t>
  </si>
  <si>
    <t>Thợ phụ mài</t>
  </si>
  <si>
    <t>Thợ hàn</t>
  </si>
  <si>
    <t>102873087642</t>
  </si>
  <si>
    <t>107871060638</t>
  </si>
  <si>
    <t>Vietinbank</t>
  </si>
  <si>
    <t>104877331174</t>
  </si>
  <si>
    <t>9397508990</t>
  </si>
  <si>
    <t>031079002925</t>
  </si>
  <si>
    <t>Vũ Đức Thắng</t>
  </si>
  <si>
    <t>030071011056</t>
  </si>
  <si>
    <t>Nguyễn Hữu Du</t>
  </si>
  <si>
    <t>040201023312</t>
  </si>
  <si>
    <t>Nguyễn Đức Thông</t>
  </si>
  <si>
    <t>044093002047</t>
  </si>
  <si>
    <t>Trần Ngọc Sơn</t>
  </si>
  <si>
    <t>034072013355</t>
  </si>
  <si>
    <t>Nguyễn Văn Vĩnh</t>
  </si>
  <si>
    <t>010097008276</t>
  </si>
  <si>
    <t>Vừ A Sài</t>
  </si>
  <si>
    <t>010098002967</t>
  </si>
  <si>
    <t>Lí A Giấy</t>
  </si>
  <si>
    <t>038082002799</t>
  </si>
  <si>
    <t>Lê Văn Ái</t>
  </si>
  <si>
    <t>Thợ Lắp ráp</t>
  </si>
  <si>
    <t>010203007954</t>
  </si>
  <si>
    <t>Vừ A Ma</t>
  </si>
  <si>
    <t>040205029605</t>
  </si>
  <si>
    <t>Trịnh Nguyễn Thành</t>
  </si>
  <si>
    <t>010205004943</t>
  </si>
  <si>
    <t>Giàng A Đông</t>
  </si>
  <si>
    <t>1056105211</t>
  </si>
  <si>
    <t>1021858273</t>
  </si>
  <si>
    <t>0505041998</t>
  </si>
  <si>
    <t>SHB</t>
  </si>
  <si>
    <t>0382840033</t>
  </si>
  <si>
    <t>Sacombank</t>
  </si>
  <si>
    <t>01102000000005</t>
  </si>
  <si>
    <t>1022335958</t>
  </si>
  <si>
    <t>0354655087</t>
  </si>
  <si>
    <t>1110072885</t>
  </si>
  <si>
    <t>0986204289</t>
  </si>
  <si>
    <t>1034771387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</si>
  <si>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</si>
  <si>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</si>
  <si>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</si>
  <si>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</si>
  <si>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</si>
  <si>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</si>
  <si>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</si>
  <si>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</si>
  <si>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</si>
  <si>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1034761178</t>
  </si>
  <si>
    <t>Lao động phổ thông</t>
  </si>
  <si>
    <t>106881574167</t>
  </si>
  <si>
    <t>036200001608</t>
  </si>
  <si>
    <t>Nguyễn Văn Chung</t>
  </si>
  <si>
    <t>038095002174</t>
  </si>
  <si>
    <t>Nguyễn Ngọc Khang</t>
  </si>
  <si>
    <t>019080015055</t>
  </si>
  <si>
    <t>Trịnh Văn Hưng</t>
  </si>
  <si>
    <t>024092014233</t>
  </si>
  <si>
    <t>Bế Quốc Triều</t>
  </si>
  <si>
    <t>040205014472</t>
  </si>
  <si>
    <t>Nguyễn Xuân Quyền</t>
  </si>
  <si>
    <t>064204013497</t>
  </si>
  <si>
    <t>Nguyễn Đình Phi</t>
  </si>
  <si>
    <t>044205002019</t>
  </si>
  <si>
    <t>Lê Thế Anh</t>
  </si>
  <si>
    <t>040200011260</t>
  </si>
  <si>
    <t>Nguyễn Xuân Trung</t>
  </si>
  <si>
    <t>25</t>
  </si>
  <si>
    <t>26</t>
  </si>
  <si>
    <t>27</t>
  </si>
  <si>
    <t>28</t>
  </si>
  <si>
    <t>107882875847</t>
  </si>
  <si>
    <t>98019102004</t>
  </si>
  <si>
    <t>2208200512345</t>
  </si>
  <si>
    <t>0353682223</t>
  </si>
  <si>
    <t>1022169332</t>
  </si>
  <si>
    <t>33904811408</t>
  </si>
  <si>
    <t>TPBank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</si>
</sst>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\ _₫_-;\-* #,##0.00\ _₫_-;_-* &quot;-&quot;??\ _₫_-;_-@_-"/>
    <numFmt numFmtId="166" formatCode="0.0"/>
    <numFmt numFmtId="167" formatCode="[$-F800]dddd\,\ mmmm\ dd\,\ yyyy"/>
    <numFmt numFmtId="168" formatCode="dd"/>
    <numFmt numFmtId="169" formatCode="&quot;T&quot;General"/>
    <numFmt numFmtId="170" formatCode="_-* #,##0.0_-;\-* #,##0.0_-;_-* &quot;-&quot;??_-;_-@_-"/>
    <numFmt numFmtId="171" formatCode="_-* #,##0_-;\-* #,##0_-;_-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sz val="10"/>
      <name val="Arial"/>
      <family val="2"/>
    </font>
    <font>
      <sz val="11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24"/>
      <name val="Tahoma"/>
      <family val="2"/>
    </font>
    <font>
      <b/>
      <sz val="12"/>
      <color rgb="FF000000"/>
      <name val="Times New Roman"/>
      <family val="1"/>
    </font>
    <font>
      <i/>
      <sz val="12"/>
      <name val="Tahoma"/>
      <family val="2"/>
    </font>
    <font>
      <b/>
      <i/>
      <sz val="16"/>
      <name val="Tahoma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  <charset val="163"/>
    </font>
    <font>
      <sz val="12"/>
      <color rgb="FF000000"/>
      <name val="Tahoma"/>
      <family val="2"/>
      <charset val="163"/>
    </font>
    <font>
      <b/>
      <sz val="12"/>
      <color rgb="FF000000"/>
      <name val="Tahoma"/>
      <family val="2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81B3A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167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24" fillId="0" borderId="0" applyFont="0" applyFill="0" applyBorder="0" applyAlignment="0" applyProtection="0"/>
  </cellStyleXfs>
  <cellXfs count="115">
    <xf numFmtId="0" fontId="0" fillId="0" borderId="0" xfId="0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>
      <alignment vertical="center"/>
    </xf>
    <xf numFmtId="0" fontId="9" fillId="3" borderId="0" xfId="0" applyFont="1" applyFill="1">
      <alignment vertical="center"/>
    </xf>
    <xf numFmtId="0" fontId="8" fillId="0" borderId="0" xfId="0" applyFont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15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5" fillId="0" borderId="1" xfId="0" quotePrefix="1" applyFont="1" applyBorder="1">
      <alignment vertical="center"/>
    </xf>
    <xf numFmtId="0" fontId="15" fillId="0" borderId="1" xfId="0" applyFont="1" applyBorder="1">
      <alignment vertical="center"/>
    </xf>
    <xf numFmtId="171" fontId="17" fillId="0" borderId="1" xfId="2" applyNumberFormat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1" fontId="11" fillId="6" borderId="1" xfId="0" applyNumberFormat="1" applyFont="1" applyFill="1" applyBorder="1" applyAlignment="1">
      <alignment horizontal="center" vertical="center"/>
    </xf>
    <xf numFmtId="170" fontId="11" fillId="6" borderId="1" xfId="2" applyNumberFormat="1" applyFont="1" applyFill="1" applyBorder="1" applyAlignment="1">
      <alignment horizontal="center" vertical="center"/>
    </xf>
    <xf numFmtId="171" fontId="17" fillId="5" borderId="1" xfId="2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 vertical="center"/>
    </xf>
    <xf numFmtId="171" fontId="17" fillId="0" borderId="0" xfId="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70" fontId="23" fillId="0" borderId="1" xfId="2" applyNumberFormat="1" applyFont="1" applyFill="1" applyBorder="1" applyAlignment="1">
      <alignment horizontal="center" vertical="center" wrapText="1"/>
    </xf>
    <xf numFmtId="1" fontId="23" fillId="0" borderId="1" xfId="2" applyNumberFormat="1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0" fontId="15" fillId="0" borderId="4" xfId="0" quotePrefix="1" applyFont="1" applyBorder="1">
      <alignment vertical="center"/>
    </xf>
    <xf numFmtId="0" fontId="15" fillId="0" borderId="4" xfId="0" applyFont="1" applyBorder="1">
      <alignment vertical="center"/>
    </xf>
    <xf numFmtId="0" fontId="15" fillId="0" borderId="6" xfId="0" applyFont="1" applyBorder="1" applyAlignment="1">
      <alignment horizontal="left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>
      <alignment vertical="center"/>
    </xf>
    <xf numFmtId="49" fontId="7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166" fontId="22" fillId="10" borderId="1" xfId="0" applyNumberFormat="1" applyFont="1" applyFill="1" applyBorder="1" applyAlignment="1">
      <alignment horizontal="center" vertical="center" wrapText="1"/>
    </xf>
    <xf numFmtId="0" fontId="15" fillId="0" borderId="6" xfId="0" applyFont="1" applyBorder="1">
      <alignment vertical="center"/>
    </xf>
    <xf numFmtId="164" fontId="9" fillId="3" borderId="0" xfId="9" applyFont="1" applyFill="1" applyAlignment="1">
      <alignment vertical="center"/>
    </xf>
    <xf numFmtId="164" fontId="9" fillId="2" borderId="0" xfId="9" applyFont="1" applyFill="1" applyAlignment="1">
      <alignment horizontal="center" vertical="center"/>
    </xf>
    <xf numFmtId="164" fontId="8" fillId="2" borderId="0" xfId="9" applyFont="1" applyFill="1" applyAlignment="1">
      <alignment horizontal="center" vertical="center" wrapText="1"/>
    </xf>
    <xf numFmtId="164" fontId="15" fillId="0" borderId="6" xfId="9" applyFont="1" applyBorder="1" applyAlignment="1">
      <alignment horizontal="left" vertical="center" wrapText="1"/>
    </xf>
    <xf numFmtId="164" fontId="15" fillId="0" borderId="0" xfId="9" applyFont="1" applyAlignment="1">
      <alignment horizontal="center" vertical="center"/>
    </xf>
    <xf numFmtId="164" fontId="12" fillId="2" borderId="0" xfId="9" applyFont="1" applyFill="1" applyAlignment="1">
      <alignment horizontal="center" vertical="center"/>
    </xf>
    <xf numFmtId="164" fontId="8" fillId="2" borderId="0" xfId="9" applyFont="1" applyFill="1" applyAlignment="1">
      <alignment horizontal="center" vertical="center"/>
    </xf>
    <xf numFmtId="164" fontId="13" fillId="2" borderId="0" xfId="9" applyFont="1" applyFill="1" applyAlignment="1">
      <alignment horizontal="center"/>
    </xf>
    <xf numFmtId="164" fontId="8" fillId="2" borderId="0" xfId="9" applyFont="1" applyFill="1" applyAlignment="1">
      <alignment vertical="center"/>
    </xf>
    <xf numFmtId="169" fontId="14" fillId="7" borderId="3" xfId="2" applyNumberFormat="1" applyFont="1" applyFill="1" applyBorder="1" applyAlignment="1">
      <alignment horizontal="center" vertical="center" wrapText="1"/>
    </xf>
    <xf numFmtId="169" fontId="14" fillId="7" borderId="6" xfId="2" applyNumberFormat="1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66" fontId="22" fillId="0" borderId="1" xfId="0" applyNumberFormat="1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/>
    </xf>
    <xf numFmtId="166" fontId="25" fillId="2" borderId="1" xfId="0" applyNumberFormat="1" applyFont="1" applyFill="1" applyBorder="1" applyAlignment="1">
      <alignment horizontal="center" vertical="center" wrapText="1"/>
    </xf>
    <xf numFmtId="166" fontId="25" fillId="10" borderId="1" xfId="0" applyNumberFormat="1" applyFont="1" applyFill="1" applyBorder="1" applyAlignment="1">
      <alignment horizontal="center" vertical="center" wrapText="1"/>
    </xf>
    <xf numFmtId="170" fontId="11" fillId="0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5" fillId="0" borderId="0" xfId="0" applyFont="1" applyAlignment="1"/>
    <xf numFmtId="49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5" fillId="0" borderId="1" xfId="0" quotePrefix="1" applyFont="1" applyBorder="1" applyAlignment="1"/>
    <xf numFmtId="0" fontId="25" fillId="2" borderId="1" xfId="0" applyFont="1" applyFill="1" applyBorder="1" applyAlignment="1"/>
    <xf numFmtId="49" fontId="25" fillId="0" borderId="1" xfId="0" applyNumberFormat="1" applyFont="1" applyBorder="1" applyAlignment="1"/>
    <xf numFmtId="0" fontId="25" fillId="0" borderId="1" xfId="0" applyFont="1" applyBorder="1" applyAlignment="1"/>
    <xf numFmtId="49" fontId="25" fillId="0" borderId="0" xfId="0" applyNumberFormat="1" applyFont="1" applyAlignment="1"/>
    <xf numFmtId="0" fontId="26" fillId="0" borderId="1" xfId="0" quotePrefix="1" applyFont="1" applyBorder="1" applyAlignment="1"/>
    <xf numFmtId="0" fontId="25" fillId="0" borderId="1" xfId="0" quotePrefix="1" applyFont="1" applyBorder="1" applyAlignment="1">
      <alignment wrapText="1"/>
    </xf>
    <xf numFmtId="0" fontId="25" fillId="0" borderId="1" xfId="0" quotePrefix="1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164" fontId="15" fillId="0" borderId="6" xfId="9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" xfId="0" quotePrefix="1" applyFont="1" applyBorder="1">
      <alignment vertical="center"/>
    </xf>
    <xf numFmtId="49" fontId="25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8" fontId="11" fillId="4" borderId="3" xfId="0" applyNumberFormat="1" applyFont="1" applyFill="1" applyBorder="1" applyAlignment="1">
      <alignment horizontal="center" vertical="center" wrapText="1"/>
    </xf>
    <xf numFmtId="168" fontId="11" fillId="4" borderId="6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164" fontId="15" fillId="4" borderId="2" xfId="9" applyFont="1" applyFill="1" applyBorder="1" applyAlignment="1">
      <alignment horizontal="center" vertical="center" wrapText="1"/>
    </xf>
    <xf numFmtId="164" fontId="15" fillId="4" borderId="8" xfId="9" applyFont="1" applyFill="1" applyBorder="1" applyAlignment="1">
      <alignment horizontal="center" vertical="center" wrapText="1"/>
    </xf>
    <xf numFmtId="164" fontId="15" fillId="4" borderId="9" xfId="9" applyFont="1" applyFill="1" applyBorder="1" applyAlignment="1">
      <alignment horizontal="center" vertical="center" wrapText="1"/>
    </xf>
    <xf numFmtId="169" fontId="14" fillId="7" borderId="3" xfId="2" applyNumberFormat="1" applyFont="1" applyFill="1" applyBorder="1" applyAlignment="1">
      <alignment horizontal="center" vertical="center" wrapText="1"/>
    </xf>
    <xf numFmtId="169" fontId="14" fillId="7" borderId="6" xfId="2" applyNumberFormat="1" applyFont="1" applyFill="1" applyBorder="1" applyAlignment="1">
      <alignment horizontal="center" vertical="center" wrapText="1"/>
    </xf>
    <xf numFmtId="171" fontId="20" fillId="4" borderId="2" xfId="2" applyNumberFormat="1" applyFont="1" applyFill="1" applyBorder="1" applyAlignment="1">
      <alignment horizontal="center" vertical="center" wrapText="1"/>
    </xf>
    <xf numFmtId="171" fontId="20" fillId="4" borderId="8" xfId="2" applyNumberFormat="1" applyFont="1" applyFill="1" applyBorder="1" applyAlignment="1">
      <alignment horizontal="center" vertical="center" wrapText="1"/>
    </xf>
    <xf numFmtId="171" fontId="20" fillId="4" borderId="9" xfId="2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14" fontId="15" fillId="4" borderId="2" xfId="0" applyNumberFormat="1" applyFont="1" applyFill="1" applyBorder="1" applyAlignment="1">
      <alignment horizontal="center" vertical="center" wrapText="1"/>
    </xf>
    <xf numFmtId="14" fontId="15" fillId="4" borderId="8" xfId="0" applyNumberFormat="1" applyFont="1" applyFill="1" applyBorder="1" applyAlignment="1">
      <alignment horizontal="center" vertical="center" wrapText="1"/>
    </xf>
    <xf numFmtId="14" fontId="15" fillId="4" borderId="9" xfId="0" applyNumberFormat="1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/>
  </cellXfs>
  <cellStyles count="10">
    <cellStyle name="Comma" xfId="2" builtinId="3"/>
    <cellStyle name="Comma [0]" xfId="9" builtinId="6"/>
    <cellStyle name="Comma 6" xfId="6" xr:uid="{00000000-0005-0000-0000-000001000000}"/>
    <cellStyle name="Comma 7" xfId="7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8" xr:uid="{00000000-0005-0000-0000-000006000000}"/>
    <cellStyle name="Normal 3 2" xfId="4" xr:uid="{00000000-0005-0000-0000-000007000000}"/>
    <cellStyle name="Normal 7" xfId="5" xr:uid="{00000000-0005-0000-0000-000008000000}"/>
  </cellStyles>
  <dxfs count="38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441BB504-33D5-4CCD-AF5F-3B5E2114A3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EDD3562C-6D9A-46DD-8BEF-67C5E5E135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AE92313E-12CD-48ED-84ED-95AFE79033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3ADA5AB6-E4A1-4D3B-8D6C-42397B4EC4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A8657530-1B56-42C3-A808-CD76B3D4A0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68D34922-BFF0-4AA7-8D58-302730ACEF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90ABBCD7-711B-4271-A4EC-8BBB40E43B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87476B5A-0D15-473A-9A50-EF06C7449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76B969CC-563F-4C88-A59C-7AFD93978F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A981EDDC-93B4-4565-8066-754D1A007B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958A94BC-31D8-41A2-B86B-BC32EF16E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3FAF-A1DC-48CA-93D4-AD821E2D9617}">
  <dimension ref="A1:BU28"/>
  <sheetViews>
    <sheetView zoomScale="70" zoomScaleNormal="70" workbookViewId="0">
      <selection activeCell="X14" sqref="X14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5.33203125" style="1" customWidth="1"/>
    <col min="4" max="4" width="22.6640625" style="1" customWidth="1"/>
    <col min="5" max="5" width="12.21875" style="51" customWidth="1"/>
    <col min="6" max="11" width="6.44140625" style="1" hidden="1" customWidth="1"/>
    <col min="12" max="25" width="6.44140625" style="1" customWidth="1"/>
    <col min="26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>
        <v>1</v>
      </c>
      <c r="G8" s="84"/>
      <c r="H8" s="83">
        <v>2</v>
      </c>
      <c r="I8" s="84"/>
      <c r="J8" s="83">
        <v>3</v>
      </c>
      <c r="K8" s="84"/>
      <c r="L8" s="83">
        <v>22</v>
      </c>
      <c r="M8" s="84"/>
      <c r="N8" s="83">
        <v>23</v>
      </c>
      <c r="O8" s="84"/>
      <c r="P8" s="83">
        <v>24</v>
      </c>
      <c r="Q8" s="84"/>
      <c r="R8" s="83">
        <v>25</v>
      </c>
      <c r="S8" s="84"/>
      <c r="T8" s="83">
        <v>26</v>
      </c>
      <c r="U8" s="84"/>
      <c r="V8" s="83">
        <v>27</v>
      </c>
      <c r="W8" s="84"/>
      <c r="X8" s="83">
        <v>28</v>
      </c>
      <c r="Y8" s="84"/>
      <c r="Z8" s="83">
        <v>8</v>
      </c>
      <c r="AA8" s="84"/>
      <c r="AB8" s="83">
        <v>9</v>
      </c>
      <c r="AC8" s="84"/>
      <c r="AD8" s="83">
        <v>10</v>
      </c>
      <c r="AE8" s="84"/>
      <c r="AF8" s="83">
        <v>11</v>
      </c>
      <c r="AG8" s="84"/>
      <c r="AH8" s="83">
        <v>12</v>
      </c>
      <c r="AI8" s="84"/>
      <c r="AJ8" s="83">
        <v>13</v>
      </c>
      <c r="AK8" s="84"/>
      <c r="AL8" s="83">
        <v>14</v>
      </c>
      <c r="AM8" s="84"/>
      <c r="AN8" s="83">
        <v>15</v>
      </c>
      <c r="AO8" s="84"/>
      <c r="AP8" s="83">
        <v>16</v>
      </c>
      <c r="AQ8" s="84"/>
      <c r="AR8" s="83">
        <v>17</v>
      </c>
      <c r="AS8" s="84"/>
      <c r="AT8" s="83">
        <v>18</v>
      </c>
      <c r="AU8" s="84"/>
      <c r="AV8" s="83">
        <v>19</v>
      </c>
      <c r="AW8" s="84"/>
      <c r="AX8" s="83">
        <v>20</v>
      </c>
      <c r="AY8" s="84"/>
      <c r="AZ8" s="83">
        <v>21</v>
      </c>
      <c r="BA8" s="84"/>
      <c r="BB8" s="83">
        <v>22</v>
      </c>
      <c r="BC8" s="84"/>
      <c r="BD8" s="83">
        <v>23</v>
      </c>
      <c r="BE8" s="84"/>
      <c r="BF8" s="83">
        <v>24</v>
      </c>
      <c r="BG8" s="84"/>
      <c r="BH8" s="83">
        <v>25</v>
      </c>
      <c r="BI8" s="84"/>
      <c r="BJ8" s="83">
        <v>26</v>
      </c>
      <c r="BK8" s="84"/>
      <c r="BL8" s="83">
        <v>27</v>
      </c>
      <c r="BM8" s="84"/>
      <c r="BN8" s="83">
        <v>28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96" t="s">
        <v>10</v>
      </c>
      <c r="G9" s="97"/>
      <c r="H9" s="96" t="s">
        <v>11</v>
      </c>
      <c r="I9" s="97"/>
      <c r="J9" s="96" t="s">
        <v>12</v>
      </c>
      <c r="K9" s="97"/>
      <c r="L9" s="96" t="s">
        <v>13</v>
      </c>
      <c r="M9" s="97"/>
      <c r="N9" s="96" t="s">
        <v>14</v>
      </c>
      <c r="O9" s="97"/>
      <c r="P9" s="96" t="s">
        <v>8</v>
      </c>
      <c r="Q9" s="97"/>
      <c r="R9" s="96" t="s">
        <v>9</v>
      </c>
      <c r="S9" s="97"/>
      <c r="T9" s="96" t="s">
        <v>10</v>
      </c>
      <c r="U9" s="97"/>
      <c r="V9" s="96" t="s">
        <v>11</v>
      </c>
      <c r="W9" s="97"/>
      <c r="X9" s="96" t="s">
        <v>12</v>
      </c>
      <c r="Y9" s="97"/>
      <c r="Z9" s="96" t="s">
        <v>13</v>
      </c>
      <c r="AA9" s="97"/>
      <c r="AB9" s="96" t="s">
        <v>14</v>
      </c>
      <c r="AC9" s="97"/>
      <c r="AD9" s="96" t="s">
        <v>8</v>
      </c>
      <c r="AE9" s="97"/>
      <c r="AF9" s="96" t="s">
        <v>9</v>
      </c>
      <c r="AG9" s="97"/>
      <c r="AH9" s="96" t="s">
        <v>10</v>
      </c>
      <c r="AI9" s="97"/>
      <c r="AJ9" s="96" t="s">
        <v>11</v>
      </c>
      <c r="AK9" s="97"/>
      <c r="AL9" s="96" t="s">
        <v>12</v>
      </c>
      <c r="AM9" s="97"/>
      <c r="AN9" s="96" t="s">
        <v>13</v>
      </c>
      <c r="AO9" s="97"/>
      <c r="AP9" s="96" t="s">
        <v>14</v>
      </c>
      <c r="AQ9" s="97"/>
      <c r="AR9" s="96" t="s">
        <v>8</v>
      </c>
      <c r="AS9" s="97"/>
      <c r="AT9" s="96" t="s">
        <v>9</v>
      </c>
      <c r="AU9" s="97"/>
      <c r="AV9" s="96" t="s">
        <v>10</v>
      </c>
      <c r="AW9" s="97"/>
      <c r="AX9" s="96" t="s">
        <v>11</v>
      </c>
      <c r="AY9" s="97"/>
      <c r="AZ9" s="96" t="s">
        <v>12</v>
      </c>
      <c r="BA9" s="97"/>
      <c r="BB9" s="96" t="s">
        <v>13</v>
      </c>
      <c r="BC9" s="97"/>
      <c r="BD9" s="96" t="s">
        <v>14</v>
      </c>
      <c r="BE9" s="97"/>
      <c r="BF9" s="96" t="s">
        <v>8</v>
      </c>
      <c r="BG9" s="97"/>
      <c r="BH9" s="96" t="s">
        <v>9</v>
      </c>
      <c r="BI9" s="97"/>
      <c r="BJ9" s="96" t="s">
        <v>10</v>
      </c>
      <c r="BK9" s="97"/>
      <c r="BL9" s="96" t="s">
        <v>11</v>
      </c>
      <c r="BM9" s="97"/>
      <c r="BN9" s="96" t="s">
        <v>12</v>
      </c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 t="s">
        <v>18</v>
      </c>
      <c r="G10" s="13" t="s">
        <v>19</v>
      </c>
      <c r="H10" s="13" t="s">
        <v>18</v>
      </c>
      <c r="I10" s="13" t="s">
        <v>19</v>
      </c>
      <c r="J10" s="13" t="s">
        <v>18</v>
      </c>
      <c r="K10" s="13" t="s">
        <v>19</v>
      </c>
      <c r="L10" s="13" t="s">
        <v>18</v>
      </c>
      <c r="M10" s="13" t="s">
        <v>19</v>
      </c>
      <c r="N10" s="39" t="s">
        <v>20</v>
      </c>
      <c r="O10" s="39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39" t="s">
        <v>20</v>
      </c>
      <c r="AC10" s="39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39" t="s">
        <v>20</v>
      </c>
      <c r="AQ10" s="39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39" t="s">
        <v>20</v>
      </c>
      <c r="BE10" s="39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4" t="s">
        <v>91</v>
      </c>
      <c r="C11" s="55" t="s">
        <v>92</v>
      </c>
      <c r="D11" s="32" t="s">
        <v>134</v>
      </c>
      <c r="E11" s="46">
        <v>500000</v>
      </c>
      <c r="F11" s="58"/>
      <c r="G11" s="58"/>
      <c r="H11" s="58"/>
      <c r="I11" s="58"/>
      <c r="J11" s="58"/>
      <c r="K11" s="58"/>
      <c r="L11" s="58">
        <v>8</v>
      </c>
      <c r="M11" s="58"/>
      <c r="N11" s="59"/>
      <c r="O11" s="59"/>
      <c r="P11" s="58">
        <v>8</v>
      </c>
      <c r="Q11" s="58"/>
      <c r="R11" s="58">
        <v>8</v>
      </c>
      <c r="S11" s="58"/>
      <c r="T11" s="58">
        <v>8</v>
      </c>
      <c r="U11" s="58"/>
      <c r="V11" s="58">
        <v>8</v>
      </c>
      <c r="W11" s="58"/>
      <c r="X11" s="58">
        <v>8</v>
      </c>
      <c r="Y11" s="58"/>
      <c r="Z11" s="58"/>
      <c r="AA11" s="58"/>
      <c r="AB11" s="59"/>
      <c r="AC11" s="59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59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9"/>
      <c r="BE11" s="59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60">
        <f>SUMIF($F$10:$BO$10,"HC",F11:BO11)</f>
        <v>48</v>
      </c>
      <c r="BQ11" s="27">
        <f>SUMIF($F$10:$BO$10,"TCN",F11:BO11)</f>
        <v>0</v>
      </c>
      <c r="BR11" s="27">
        <f>SUMIF($F$10:$BO$10,"NN",F11:BO11)</f>
        <v>0</v>
      </c>
      <c r="BS11" s="27">
        <f>SUMIF($F$10:$BO$10,"TCNN",F11:BO11)</f>
        <v>0</v>
      </c>
      <c r="BT11" s="28"/>
      <c r="BU11" s="17" t="s">
        <v>73</v>
      </c>
    </row>
    <row r="12" spans="1:73" s="18" customFormat="1" ht="29.55" customHeight="1">
      <c r="A12" s="37" t="s">
        <v>27</v>
      </c>
      <c r="B12" s="57" t="s">
        <v>93</v>
      </c>
      <c r="C12" s="55" t="s">
        <v>94</v>
      </c>
      <c r="D12" s="77" t="s">
        <v>134</v>
      </c>
      <c r="E12" s="46">
        <v>500000</v>
      </c>
      <c r="F12" s="58"/>
      <c r="G12" s="58"/>
      <c r="H12" s="58"/>
      <c r="I12" s="58"/>
      <c r="J12" s="58"/>
      <c r="K12" s="58"/>
      <c r="L12" s="58">
        <v>8</v>
      </c>
      <c r="M12" s="58"/>
      <c r="N12" s="59"/>
      <c r="O12" s="59"/>
      <c r="P12" s="58">
        <v>8</v>
      </c>
      <c r="Q12" s="58"/>
      <c r="R12" s="58">
        <v>8</v>
      </c>
      <c r="S12" s="58"/>
      <c r="T12" s="58">
        <v>8</v>
      </c>
      <c r="U12" s="58"/>
      <c r="V12" s="58">
        <v>8</v>
      </c>
      <c r="W12" s="58"/>
      <c r="X12" s="58">
        <v>8</v>
      </c>
      <c r="Y12" s="58"/>
      <c r="Z12" s="58"/>
      <c r="AA12" s="58"/>
      <c r="AB12" s="59"/>
      <c r="AC12" s="59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59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9"/>
      <c r="BE12" s="59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60">
        <f>SUMIF($F$10:$BO$10,"HC",F12:BO12)</f>
        <v>48</v>
      </c>
      <c r="BQ12" s="27"/>
      <c r="BR12" s="27"/>
      <c r="BS12" s="27"/>
      <c r="BT12" s="28"/>
      <c r="BU12" s="17" t="s">
        <v>73</v>
      </c>
    </row>
    <row r="13" spans="1:73" s="18" customFormat="1" ht="29.4" customHeight="1">
      <c r="A13" s="37" t="s">
        <v>28</v>
      </c>
      <c r="B13" s="54" t="s">
        <v>136</v>
      </c>
      <c r="C13" s="79" t="s">
        <v>137</v>
      </c>
      <c r="D13" s="77" t="s">
        <v>134</v>
      </c>
      <c r="E13" s="46">
        <v>500000</v>
      </c>
      <c r="F13" s="58"/>
      <c r="G13" s="58"/>
      <c r="H13" s="58"/>
      <c r="I13" s="58"/>
      <c r="J13" s="58"/>
      <c r="K13" s="58"/>
      <c r="L13" s="58"/>
      <c r="M13" s="58"/>
      <c r="N13" s="59"/>
      <c r="O13" s="59"/>
      <c r="P13" s="58"/>
      <c r="Q13" s="58"/>
      <c r="R13" s="58"/>
      <c r="S13" s="58"/>
      <c r="T13" s="58"/>
      <c r="U13" s="58"/>
      <c r="V13" s="58">
        <v>8</v>
      </c>
      <c r="W13" s="58"/>
      <c r="X13" s="58">
        <v>8</v>
      </c>
      <c r="Y13" s="58"/>
      <c r="Z13" s="58"/>
      <c r="AA13" s="58"/>
      <c r="AB13" s="59"/>
      <c r="AC13" s="59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59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9"/>
      <c r="BE13" s="59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60">
        <f t="shared" ref="BP13:BP20" si="0">SUMIF($F$10:$BO$10,"HC",F13:BO13)</f>
        <v>16</v>
      </c>
      <c r="BQ13" s="27">
        <f t="shared" ref="BQ13:BQ20" si="1">SUMIF($F$10:$BO$10,"TCN",F13:BO13)</f>
        <v>0</v>
      </c>
      <c r="BR13" s="27">
        <f t="shared" ref="BR13:BR20" si="2">SUMIF($F$10:$BO$10,"NN",F13:BO13)</f>
        <v>0</v>
      </c>
      <c r="BS13" s="27">
        <f t="shared" ref="BS13:BS20" si="3">SUMIF($F$10:$BO$10,"TCNN",F13:BO13)</f>
        <v>0</v>
      </c>
      <c r="BT13" s="28"/>
      <c r="BU13" s="17" t="s">
        <v>73</v>
      </c>
    </row>
    <row r="14" spans="1:73" s="18" customFormat="1" ht="29.55" customHeight="1">
      <c r="A14" s="37" t="s">
        <v>29</v>
      </c>
      <c r="B14" s="54"/>
      <c r="C14" s="55"/>
      <c r="D14" s="32"/>
      <c r="E14" s="76"/>
      <c r="F14" s="58"/>
      <c r="G14" s="58"/>
      <c r="H14" s="58"/>
      <c r="I14" s="58"/>
      <c r="J14" s="58"/>
      <c r="K14" s="58"/>
      <c r="L14" s="58"/>
      <c r="M14" s="58"/>
      <c r="N14" s="59"/>
      <c r="O14" s="59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9"/>
      <c r="AC14" s="59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59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9"/>
      <c r="BE14" s="59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60">
        <f t="shared" si="0"/>
        <v>0</v>
      </c>
      <c r="BQ14" s="27">
        <f t="shared" si="1"/>
        <v>0</v>
      </c>
      <c r="BR14" s="27">
        <f t="shared" si="2"/>
        <v>0</v>
      </c>
      <c r="BS14" s="27">
        <f t="shared" si="3"/>
        <v>0</v>
      </c>
      <c r="BT14" s="28"/>
      <c r="BU14" s="17"/>
    </row>
    <row r="15" spans="1:73" s="18" customFormat="1" ht="29.55" customHeight="1">
      <c r="A15" s="37" t="s">
        <v>30</v>
      </c>
      <c r="B15" s="54"/>
      <c r="C15" s="55"/>
      <c r="D15" s="32"/>
      <c r="E15" s="46"/>
      <c r="F15" s="58"/>
      <c r="G15" s="58"/>
      <c r="H15" s="58"/>
      <c r="I15" s="58"/>
      <c r="J15" s="58"/>
      <c r="K15" s="58"/>
      <c r="L15" s="58"/>
      <c r="M15" s="58"/>
      <c r="N15" s="59"/>
      <c r="O15" s="59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9"/>
      <c r="AC15" s="59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59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9"/>
      <c r="BE15" s="59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60">
        <f t="shared" si="0"/>
        <v>0</v>
      </c>
      <c r="BQ15" s="27">
        <f t="shared" si="1"/>
        <v>0</v>
      </c>
      <c r="BR15" s="27">
        <f t="shared" si="2"/>
        <v>0</v>
      </c>
      <c r="BS15" s="27">
        <f t="shared" si="3"/>
        <v>0</v>
      </c>
      <c r="BT15" s="28"/>
      <c r="BU15" s="17"/>
    </row>
    <row r="16" spans="1:73" s="18" customFormat="1" ht="29.55" customHeight="1">
      <c r="A16" s="37" t="s">
        <v>31</v>
      </c>
      <c r="B16" s="54"/>
      <c r="C16" s="55"/>
      <c r="D16" s="32"/>
      <c r="E16" s="46"/>
      <c r="F16" s="58"/>
      <c r="G16" s="58"/>
      <c r="H16" s="58"/>
      <c r="I16" s="58"/>
      <c r="J16" s="58"/>
      <c r="K16" s="58"/>
      <c r="L16" s="58"/>
      <c r="M16" s="58"/>
      <c r="N16" s="59"/>
      <c r="O16" s="59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9"/>
      <c r="AC16" s="59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59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9"/>
      <c r="BE16" s="59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60">
        <f t="shared" si="0"/>
        <v>0</v>
      </c>
      <c r="BQ16" s="27">
        <f t="shared" si="1"/>
        <v>0</v>
      </c>
      <c r="BR16" s="27">
        <f t="shared" si="2"/>
        <v>0</v>
      </c>
      <c r="BS16" s="27">
        <f t="shared" si="3"/>
        <v>0</v>
      </c>
      <c r="BT16" s="28"/>
      <c r="BU16" s="17"/>
    </row>
    <row r="17" spans="1:73" s="18" customFormat="1" ht="29.55" customHeight="1">
      <c r="A17" s="37" t="s">
        <v>32</v>
      </c>
      <c r="B17" s="54"/>
      <c r="C17" s="55"/>
      <c r="D17" s="32"/>
      <c r="E17" s="46"/>
      <c r="F17" s="29"/>
      <c r="G17" s="29"/>
      <c r="H17" s="29"/>
      <c r="I17" s="29"/>
      <c r="J17" s="29"/>
      <c r="K17" s="29"/>
      <c r="L17" s="29"/>
      <c r="M17" s="29"/>
      <c r="N17" s="41"/>
      <c r="O17" s="41"/>
      <c r="P17" s="5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41"/>
      <c r="AC17" s="41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1"/>
      <c r="AQ17" s="41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1"/>
      <c r="BE17" s="41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0"/>
        <v>0</v>
      </c>
      <c r="BQ17" s="27">
        <f t="shared" si="1"/>
        <v>0</v>
      </c>
      <c r="BR17" s="27">
        <f t="shared" si="2"/>
        <v>0</v>
      </c>
      <c r="BS17" s="27">
        <f t="shared" si="3"/>
        <v>0</v>
      </c>
      <c r="BT17" s="28"/>
      <c r="BU17" s="17"/>
    </row>
    <row r="18" spans="1:73" s="18" customFormat="1" ht="29.55" customHeight="1">
      <c r="A18" s="37" t="s">
        <v>35</v>
      </c>
      <c r="B18" s="15"/>
      <c r="C18" s="16"/>
      <c r="D18" s="42"/>
      <c r="E18" s="46"/>
      <c r="F18" s="29"/>
      <c r="G18" s="29"/>
      <c r="H18" s="29"/>
      <c r="I18" s="29"/>
      <c r="J18" s="29"/>
      <c r="K18" s="29"/>
      <c r="L18" s="29"/>
      <c r="M18" s="29"/>
      <c r="N18" s="41"/>
      <c r="O18" s="41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1"/>
      <c r="AC18" s="41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1"/>
      <c r="AQ18" s="41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1"/>
      <c r="BE18" s="41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0"/>
        <v>0</v>
      </c>
      <c r="BQ18" s="27">
        <f t="shared" si="1"/>
        <v>0</v>
      </c>
      <c r="BR18" s="27">
        <f t="shared" si="2"/>
        <v>0</v>
      </c>
      <c r="BS18" s="27">
        <f t="shared" si="3"/>
        <v>0</v>
      </c>
      <c r="BT18" s="28"/>
      <c r="BU18" s="17"/>
    </row>
    <row r="19" spans="1:73" s="18" customFormat="1" ht="29.55" customHeight="1">
      <c r="A19" s="37" t="s">
        <v>36</v>
      </c>
      <c r="B19" s="15"/>
      <c r="C19" s="16"/>
      <c r="D19" s="42"/>
      <c r="E19" s="46"/>
      <c r="F19" s="29"/>
      <c r="G19" s="29"/>
      <c r="H19" s="29"/>
      <c r="I19" s="29"/>
      <c r="J19" s="29"/>
      <c r="K19" s="29"/>
      <c r="L19" s="29"/>
      <c r="M19" s="29"/>
      <c r="N19" s="41"/>
      <c r="O19" s="41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1"/>
      <c r="AC19" s="41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1"/>
      <c r="AQ19" s="41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1"/>
      <c r="BE19" s="41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0"/>
        <v>0</v>
      </c>
      <c r="BQ19" s="27">
        <f t="shared" si="1"/>
        <v>0</v>
      </c>
      <c r="BR19" s="27">
        <f t="shared" si="2"/>
        <v>0</v>
      </c>
      <c r="BS19" s="27">
        <f t="shared" si="3"/>
        <v>0</v>
      </c>
      <c r="BT19" s="28"/>
      <c r="BU19" s="17"/>
    </row>
    <row r="20" spans="1:73" s="18" customFormat="1" ht="29.55" customHeight="1">
      <c r="A20" s="40"/>
      <c r="B20" s="30"/>
      <c r="C20" s="31"/>
      <c r="D20" s="31"/>
      <c r="E20" s="46"/>
      <c r="F20" s="29"/>
      <c r="G20" s="29"/>
      <c r="H20" s="29"/>
      <c r="I20" s="29"/>
      <c r="J20" s="29"/>
      <c r="K20" s="29"/>
      <c r="L20" s="29"/>
      <c r="M20" s="29"/>
      <c r="N20" s="41"/>
      <c r="O20" s="4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1"/>
      <c r="AC20" s="4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1"/>
      <c r="AQ20" s="41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1"/>
      <c r="BE20" s="41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0"/>
        <v>0</v>
      </c>
      <c r="BQ20" s="27">
        <f t="shared" si="1"/>
        <v>0</v>
      </c>
      <c r="BR20" s="27">
        <f t="shared" si="2"/>
        <v>0</v>
      </c>
      <c r="BS20" s="27">
        <f t="shared" si="3"/>
        <v>0</v>
      </c>
      <c r="BT20" s="28"/>
      <c r="BU20" s="17"/>
    </row>
    <row r="21" spans="1:73" s="12" customFormat="1" ht="39.6" customHeight="1">
      <c r="A21" s="110" t="s">
        <v>4</v>
      </c>
      <c r="B21" s="111"/>
      <c r="C21" s="111"/>
      <c r="D21" s="111"/>
      <c r="E21" s="112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20">
        <f>SUM(BP11:BP20)</f>
        <v>112</v>
      </c>
      <c r="BQ21" s="20">
        <f>SUM(BQ11:BQ20)</f>
        <v>0</v>
      </c>
      <c r="BR21" s="20">
        <f>SUM(BR11:BR20)</f>
        <v>0</v>
      </c>
      <c r="BS21" s="20">
        <f>SUM(BS11:BS20)</f>
        <v>0</v>
      </c>
      <c r="BT21" s="20">
        <f>SUM(BT11:BT20)</f>
        <v>0</v>
      </c>
      <c r="BU21" s="21"/>
    </row>
    <row r="22" spans="1:73" s="26" customFormat="1" ht="39.6" customHeight="1">
      <c r="A22" s="38"/>
      <c r="B22" s="22"/>
      <c r="C22" s="22"/>
      <c r="D22" s="22"/>
      <c r="E22" s="4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4"/>
      <c r="BQ22" s="24"/>
      <c r="BR22" s="24"/>
      <c r="BS22" s="24"/>
      <c r="BT22" s="24"/>
      <c r="BU22" s="25"/>
    </row>
    <row r="23" spans="1:73" ht="39.6" customHeight="1">
      <c r="E23" s="44" t="s">
        <v>15</v>
      </c>
      <c r="I23" s="5"/>
      <c r="J23" s="3"/>
      <c r="K23" s="3"/>
      <c r="L23" s="3"/>
      <c r="M23" s="3"/>
      <c r="N23" s="3"/>
      <c r="O23" s="3"/>
      <c r="P23" s="5"/>
      <c r="Q23" s="5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73" ht="39.6" customHeight="1">
      <c r="E24" s="48" t="s">
        <v>16</v>
      </c>
      <c r="I24" s="5"/>
      <c r="J24" s="3"/>
      <c r="K24" s="3"/>
      <c r="L24" s="3"/>
      <c r="M24" s="3"/>
      <c r="N24" s="3"/>
      <c r="O24" s="3"/>
      <c r="P24" s="5"/>
      <c r="Q24" s="5"/>
    </row>
    <row r="25" spans="1:73" ht="39.6" customHeight="1">
      <c r="E25" s="49"/>
      <c r="I25" s="5"/>
      <c r="J25" s="3"/>
      <c r="K25" s="3"/>
      <c r="L25" s="3"/>
      <c r="M25" s="3"/>
      <c r="N25" s="3"/>
      <c r="O25" s="3"/>
      <c r="P25" s="5"/>
      <c r="Q25" s="5"/>
    </row>
    <row r="26" spans="1:73" ht="39.6" customHeight="1">
      <c r="E26" s="49"/>
      <c r="I26" s="5"/>
      <c r="J26" s="3"/>
      <c r="K26" s="3"/>
      <c r="L26" s="3"/>
      <c r="M26" s="3"/>
      <c r="N26" s="3"/>
      <c r="O26" s="3"/>
      <c r="P26" s="5"/>
      <c r="Q26" s="5"/>
    </row>
    <row r="27" spans="1:73" ht="39.6" customHeight="1">
      <c r="E27" s="49"/>
      <c r="I27" s="5"/>
      <c r="J27" s="3"/>
      <c r="K27" s="3"/>
      <c r="L27" s="3"/>
      <c r="M27" s="3"/>
      <c r="N27" s="3"/>
      <c r="O27" s="3"/>
      <c r="P27" s="5"/>
      <c r="Q27" s="5"/>
    </row>
    <row r="28" spans="1:73" ht="39.6" customHeight="1">
      <c r="E28" s="50" t="s">
        <v>22</v>
      </c>
      <c r="I28" s="5"/>
      <c r="J28" s="3"/>
      <c r="K28" s="3"/>
      <c r="L28" s="3"/>
      <c r="M28" s="3"/>
      <c r="N28" s="3"/>
      <c r="O28" s="3"/>
      <c r="P28" s="5"/>
      <c r="Q28" s="5"/>
    </row>
  </sheetData>
  <mergeCells count="73">
    <mergeCell ref="AT9:AU9"/>
    <mergeCell ref="A21:E21"/>
    <mergeCell ref="AV9:AW9"/>
    <mergeCell ref="AX9:AY9"/>
    <mergeCell ref="AZ9:BA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BB9:BC9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</mergeCells>
  <conditionalFormatting sqref="B18:B1048576 B1:B10">
    <cfRule type="duplicateValues" dxfId="37" priority="4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35" priority="6">
      <formula>IF(OR(H$10="CN",H$10="OT CN"),1,0)</formula>
    </cfRule>
  </conditionalFormatting>
  <conditionalFormatting sqref="F11:BO22">
    <cfRule type="expression" dxfId="34" priority="1">
      <formula>IF(OR(F$10="CN",F$10="OT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664A354-C6E2-4013-8631-6ADFDB5F0716}">
            <xm:f>NOT(ISERROR(SEARCH(#REF!,B18)))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B18:D20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BD24-F559-40DF-9B72-0E5C56DB51EA}">
  <dimension ref="A1:BU30"/>
  <sheetViews>
    <sheetView zoomScale="70" zoomScaleNormal="70" workbookViewId="0">
      <selection activeCell="X18" sqref="X18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5.33203125" style="1" customWidth="1"/>
    <col min="4" max="4" width="22.6640625" style="1" customWidth="1"/>
    <col min="5" max="5" width="12.21875" style="51" customWidth="1"/>
    <col min="6" max="11" width="6.44140625" style="1" hidden="1" customWidth="1"/>
    <col min="12" max="25" width="6.44140625" style="1" customWidth="1"/>
    <col min="26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>
        <v>1</v>
      </c>
      <c r="G8" s="84"/>
      <c r="H8" s="83">
        <v>2</v>
      </c>
      <c r="I8" s="84"/>
      <c r="J8" s="83">
        <v>3</v>
      </c>
      <c r="K8" s="84"/>
      <c r="L8" s="83">
        <v>22</v>
      </c>
      <c r="M8" s="84"/>
      <c r="N8" s="83">
        <v>23</v>
      </c>
      <c r="O8" s="84"/>
      <c r="P8" s="83">
        <v>24</v>
      </c>
      <c r="Q8" s="84"/>
      <c r="R8" s="83">
        <v>25</v>
      </c>
      <c r="S8" s="84"/>
      <c r="T8" s="83">
        <v>26</v>
      </c>
      <c r="U8" s="84"/>
      <c r="V8" s="83">
        <v>27</v>
      </c>
      <c r="W8" s="84"/>
      <c r="X8" s="83">
        <v>28</v>
      </c>
      <c r="Y8" s="84"/>
      <c r="Z8" s="83">
        <v>8</v>
      </c>
      <c r="AA8" s="84"/>
      <c r="AB8" s="83">
        <v>9</v>
      </c>
      <c r="AC8" s="84"/>
      <c r="AD8" s="83">
        <v>10</v>
      </c>
      <c r="AE8" s="84"/>
      <c r="AF8" s="83">
        <v>11</v>
      </c>
      <c r="AG8" s="84"/>
      <c r="AH8" s="83">
        <v>12</v>
      </c>
      <c r="AI8" s="84"/>
      <c r="AJ8" s="83">
        <v>13</v>
      </c>
      <c r="AK8" s="84"/>
      <c r="AL8" s="83">
        <v>14</v>
      </c>
      <c r="AM8" s="84"/>
      <c r="AN8" s="83">
        <v>15</v>
      </c>
      <c r="AO8" s="84"/>
      <c r="AP8" s="83">
        <v>16</v>
      </c>
      <c r="AQ8" s="84"/>
      <c r="AR8" s="83">
        <v>17</v>
      </c>
      <c r="AS8" s="84"/>
      <c r="AT8" s="83">
        <v>18</v>
      </c>
      <c r="AU8" s="84"/>
      <c r="AV8" s="83">
        <v>19</v>
      </c>
      <c r="AW8" s="84"/>
      <c r="AX8" s="83">
        <v>20</v>
      </c>
      <c r="AY8" s="84"/>
      <c r="AZ8" s="83">
        <v>21</v>
      </c>
      <c r="BA8" s="84"/>
      <c r="BB8" s="83">
        <v>22</v>
      </c>
      <c r="BC8" s="84"/>
      <c r="BD8" s="83">
        <v>23</v>
      </c>
      <c r="BE8" s="84"/>
      <c r="BF8" s="83">
        <v>24</v>
      </c>
      <c r="BG8" s="84"/>
      <c r="BH8" s="83">
        <v>25</v>
      </c>
      <c r="BI8" s="84"/>
      <c r="BJ8" s="83">
        <v>26</v>
      </c>
      <c r="BK8" s="84"/>
      <c r="BL8" s="83">
        <v>27</v>
      </c>
      <c r="BM8" s="84"/>
      <c r="BN8" s="83">
        <v>28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96" t="s">
        <v>10</v>
      </c>
      <c r="G9" s="97"/>
      <c r="H9" s="96" t="s">
        <v>11</v>
      </c>
      <c r="I9" s="97"/>
      <c r="J9" s="96" t="s">
        <v>12</v>
      </c>
      <c r="K9" s="97"/>
      <c r="L9" s="96" t="s">
        <v>13</v>
      </c>
      <c r="M9" s="97"/>
      <c r="N9" s="96" t="s">
        <v>14</v>
      </c>
      <c r="O9" s="97"/>
      <c r="P9" s="96" t="s">
        <v>8</v>
      </c>
      <c r="Q9" s="97"/>
      <c r="R9" s="96" t="s">
        <v>9</v>
      </c>
      <c r="S9" s="97"/>
      <c r="T9" s="96" t="s">
        <v>10</v>
      </c>
      <c r="U9" s="97"/>
      <c r="V9" s="96" t="s">
        <v>11</v>
      </c>
      <c r="W9" s="97"/>
      <c r="X9" s="96" t="s">
        <v>12</v>
      </c>
      <c r="Y9" s="97"/>
      <c r="Z9" s="96" t="s">
        <v>13</v>
      </c>
      <c r="AA9" s="97"/>
      <c r="AB9" s="96" t="s">
        <v>14</v>
      </c>
      <c r="AC9" s="97"/>
      <c r="AD9" s="96" t="s">
        <v>8</v>
      </c>
      <c r="AE9" s="97"/>
      <c r="AF9" s="96" t="s">
        <v>9</v>
      </c>
      <c r="AG9" s="97"/>
      <c r="AH9" s="96" t="s">
        <v>10</v>
      </c>
      <c r="AI9" s="97"/>
      <c r="AJ9" s="96" t="s">
        <v>11</v>
      </c>
      <c r="AK9" s="97"/>
      <c r="AL9" s="96" t="s">
        <v>12</v>
      </c>
      <c r="AM9" s="97"/>
      <c r="AN9" s="96" t="s">
        <v>13</v>
      </c>
      <c r="AO9" s="97"/>
      <c r="AP9" s="96" t="s">
        <v>14</v>
      </c>
      <c r="AQ9" s="97"/>
      <c r="AR9" s="96" t="s">
        <v>8</v>
      </c>
      <c r="AS9" s="97"/>
      <c r="AT9" s="96" t="s">
        <v>9</v>
      </c>
      <c r="AU9" s="97"/>
      <c r="AV9" s="96" t="s">
        <v>10</v>
      </c>
      <c r="AW9" s="97"/>
      <c r="AX9" s="96" t="s">
        <v>11</v>
      </c>
      <c r="AY9" s="97"/>
      <c r="AZ9" s="96" t="s">
        <v>12</v>
      </c>
      <c r="BA9" s="97"/>
      <c r="BB9" s="96" t="s">
        <v>13</v>
      </c>
      <c r="BC9" s="97"/>
      <c r="BD9" s="96" t="s">
        <v>14</v>
      </c>
      <c r="BE9" s="97"/>
      <c r="BF9" s="96" t="s">
        <v>8</v>
      </c>
      <c r="BG9" s="97"/>
      <c r="BH9" s="96" t="s">
        <v>9</v>
      </c>
      <c r="BI9" s="97"/>
      <c r="BJ9" s="96" t="s">
        <v>10</v>
      </c>
      <c r="BK9" s="97"/>
      <c r="BL9" s="96" t="s">
        <v>11</v>
      </c>
      <c r="BM9" s="97"/>
      <c r="BN9" s="96" t="s">
        <v>12</v>
      </c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 t="s">
        <v>18</v>
      </c>
      <c r="G10" s="13" t="s">
        <v>19</v>
      </c>
      <c r="H10" s="13" t="s">
        <v>18</v>
      </c>
      <c r="I10" s="13" t="s">
        <v>19</v>
      </c>
      <c r="J10" s="13" t="s">
        <v>18</v>
      </c>
      <c r="K10" s="13" t="s">
        <v>19</v>
      </c>
      <c r="L10" s="13" t="s">
        <v>18</v>
      </c>
      <c r="M10" s="13" t="s">
        <v>19</v>
      </c>
      <c r="N10" s="39" t="s">
        <v>20</v>
      </c>
      <c r="O10" s="39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39" t="s">
        <v>20</v>
      </c>
      <c r="AC10" s="39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39" t="s">
        <v>20</v>
      </c>
      <c r="AQ10" s="39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39" t="s">
        <v>20</v>
      </c>
      <c r="BE10" s="39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7" t="s">
        <v>58</v>
      </c>
      <c r="C11" s="16" t="s">
        <v>57</v>
      </c>
      <c r="D11" s="32" t="s">
        <v>82</v>
      </c>
      <c r="E11" s="46">
        <v>520000</v>
      </c>
      <c r="F11" s="58"/>
      <c r="G11" s="58"/>
      <c r="H11" s="58"/>
      <c r="I11" s="58"/>
      <c r="J11" s="58"/>
      <c r="K11" s="58"/>
      <c r="L11" s="58">
        <v>8</v>
      </c>
      <c r="M11" s="58"/>
      <c r="N11" s="59"/>
      <c r="O11" s="59"/>
      <c r="P11" s="58">
        <v>8</v>
      </c>
      <c r="Q11" s="58"/>
      <c r="R11" s="58">
        <v>8</v>
      </c>
      <c r="S11" s="58"/>
      <c r="T11" s="58">
        <v>8</v>
      </c>
      <c r="U11" s="58"/>
      <c r="V11" s="58">
        <v>0</v>
      </c>
      <c r="W11" s="58"/>
      <c r="X11" s="58">
        <v>8</v>
      </c>
      <c r="Y11" s="58"/>
      <c r="Z11" s="58"/>
      <c r="AA11" s="58"/>
      <c r="AB11" s="59"/>
      <c r="AC11" s="59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59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9"/>
      <c r="BE11" s="59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60">
        <f>SUMIF($F$10:$BO$10,"HC",F11:BO11)</f>
        <v>40</v>
      </c>
      <c r="BQ11" s="27">
        <f>SUMIF($F$10:$BO$10,"TCN",F11:BO11)</f>
        <v>0</v>
      </c>
      <c r="BR11" s="27">
        <f>SUMIF($F$10:$BO$10,"NN",F11:BO11)</f>
        <v>0</v>
      </c>
      <c r="BS11" s="27">
        <f>SUMIF($F$10:$BO$10,"TCNN",F11:BO11)</f>
        <v>0</v>
      </c>
      <c r="BT11" s="28"/>
      <c r="BU11" s="17" t="s">
        <v>73</v>
      </c>
    </row>
    <row r="12" spans="1:73" s="18" customFormat="1" ht="29.55" customHeight="1">
      <c r="A12" s="37" t="s">
        <v>27</v>
      </c>
      <c r="B12" s="54" t="s">
        <v>74</v>
      </c>
      <c r="C12" s="55" t="s">
        <v>75</v>
      </c>
      <c r="D12" s="32" t="s">
        <v>82</v>
      </c>
      <c r="E12" s="46">
        <v>520000</v>
      </c>
      <c r="F12" s="58"/>
      <c r="G12" s="58"/>
      <c r="H12" s="58"/>
      <c r="I12" s="58"/>
      <c r="J12" s="58"/>
      <c r="K12" s="58"/>
      <c r="L12" s="58">
        <v>0</v>
      </c>
      <c r="M12" s="58"/>
      <c r="N12" s="59"/>
      <c r="O12" s="59"/>
      <c r="P12" s="58">
        <v>8</v>
      </c>
      <c r="Q12" s="58"/>
      <c r="R12" s="58">
        <v>8</v>
      </c>
      <c r="S12" s="58"/>
      <c r="T12" s="58">
        <v>8</v>
      </c>
      <c r="U12" s="58"/>
      <c r="V12" s="58">
        <v>8</v>
      </c>
      <c r="W12" s="58"/>
      <c r="X12" s="58">
        <v>8</v>
      </c>
      <c r="Y12" s="58"/>
      <c r="Z12" s="58"/>
      <c r="AA12" s="58"/>
      <c r="AB12" s="59"/>
      <c r="AC12" s="59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59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9"/>
      <c r="BE12" s="59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60">
        <f>SUMIF($F$10:$BO$10,"HC",F12:BO12)</f>
        <v>40</v>
      </c>
      <c r="BQ12" s="27"/>
      <c r="BR12" s="27"/>
      <c r="BS12" s="27"/>
      <c r="BT12" s="28"/>
      <c r="BU12" s="17" t="s">
        <v>73</v>
      </c>
    </row>
    <row r="13" spans="1:73" s="18" customFormat="1" ht="29.4" customHeight="1">
      <c r="A13" s="37" t="s">
        <v>28</v>
      </c>
      <c r="B13" s="54" t="s">
        <v>78</v>
      </c>
      <c r="C13" s="55" t="s">
        <v>79</v>
      </c>
      <c r="D13" s="32" t="s">
        <v>82</v>
      </c>
      <c r="E13" s="46">
        <v>520000</v>
      </c>
      <c r="F13" s="58"/>
      <c r="G13" s="58"/>
      <c r="H13" s="58"/>
      <c r="I13" s="58"/>
      <c r="J13" s="58"/>
      <c r="K13" s="58"/>
      <c r="L13" s="58">
        <v>8</v>
      </c>
      <c r="M13" s="58"/>
      <c r="N13" s="59"/>
      <c r="O13" s="59"/>
      <c r="P13" s="58">
        <v>8</v>
      </c>
      <c r="Q13" s="58"/>
      <c r="R13" s="58">
        <v>8</v>
      </c>
      <c r="S13" s="58"/>
      <c r="T13" s="58">
        <v>8</v>
      </c>
      <c r="U13" s="58"/>
      <c r="V13" s="58">
        <v>8</v>
      </c>
      <c r="W13" s="58"/>
      <c r="X13" s="58">
        <v>8</v>
      </c>
      <c r="Y13" s="58"/>
      <c r="Z13" s="58"/>
      <c r="AA13" s="58"/>
      <c r="AB13" s="59"/>
      <c r="AC13" s="59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59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9"/>
      <c r="BE13" s="59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60">
        <f t="shared" ref="BP13:BP22" si="0">SUMIF($F$10:$BO$10,"HC",F13:BO13)</f>
        <v>48</v>
      </c>
      <c r="BQ13" s="27">
        <f t="shared" ref="BQ13:BQ22" si="1">SUMIF($F$10:$BO$10,"TCN",F13:BO13)</f>
        <v>0</v>
      </c>
      <c r="BR13" s="27">
        <f t="shared" ref="BR13:BR22" si="2">SUMIF($F$10:$BO$10,"NN",F13:BO13)</f>
        <v>0</v>
      </c>
      <c r="BS13" s="27">
        <f t="shared" ref="BS13:BS22" si="3">SUMIF($F$10:$BO$10,"TCNN",F13:BO13)</f>
        <v>0</v>
      </c>
      <c r="BT13" s="28"/>
      <c r="BU13" s="17" t="s">
        <v>73</v>
      </c>
    </row>
    <row r="14" spans="1:73" s="18" customFormat="1" ht="29.55" customHeight="1">
      <c r="A14" s="37" t="s">
        <v>29</v>
      </c>
      <c r="B14" s="54" t="s">
        <v>80</v>
      </c>
      <c r="C14" s="55" t="s">
        <v>81</v>
      </c>
      <c r="D14" s="32" t="s">
        <v>82</v>
      </c>
      <c r="E14" s="46">
        <v>520000</v>
      </c>
      <c r="F14" s="58"/>
      <c r="G14" s="58"/>
      <c r="H14" s="58"/>
      <c r="I14" s="58"/>
      <c r="J14" s="58"/>
      <c r="K14" s="58"/>
      <c r="L14" s="58">
        <v>3</v>
      </c>
      <c r="M14" s="58"/>
      <c r="N14" s="59"/>
      <c r="O14" s="59"/>
      <c r="P14" s="58">
        <v>8</v>
      </c>
      <c r="Q14" s="58"/>
      <c r="R14" s="58">
        <v>0</v>
      </c>
      <c r="S14" s="58"/>
      <c r="T14" s="58">
        <v>8</v>
      </c>
      <c r="U14" s="58"/>
      <c r="V14" s="58">
        <v>8</v>
      </c>
      <c r="W14" s="58"/>
      <c r="X14" s="58">
        <v>8</v>
      </c>
      <c r="Y14" s="58"/>
      <c r="Z14" s="58"/>
      <c r="AA14" s="58"/>
      <c r="AB14" s="59"/>
      <c r="AC14" s="59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59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9"/>
      <c r="BE14" s="59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60">
        <f t="shared" si="0"/>
        <v>35</v>
      </c>
      <c r="BQ14" s="27">
        <f t="shared" si="1"/>
        <v>0</v>
      </c>
      <c r="BR14" s="27">
        <f t="shared" si="2"/>
        <v>0</v>
      </c>
      <c r="BS14" s="27">
        <f t="shared" si="3"/>
        <v>0</v>
      </c>
      <c r="BT14" s="28"/>
      <c r="BU14" s="17" t="s">
        <v>73</v>
      </c>
    </row>
    <row r="15" spans="1:73" s="18" customFormat="1" ht="29.55" customHeight="1">
      <c r="A15" s="37" t="s">
        <v>30</v>
      </c>
      <c r="B15" s="54" t="s">
        <v>138</v>
      </c>
      <c r="C15" s="79" t="s">
        <v>139</v>
      </c>
      <c r="D15" s="32" t="s">
        <v>82</v>
      </c>
      <c r="E15" s="46">
        <v>520000</v>
      </c>
      <c r="F15" s="58"/>
      <c r="G15" s="58"/>
      <c r="H15" s="58"/>
      <c r="I15" s="58"/>
      <c r="J15" s="58"/>
      <c r="K15" s="58"/>
      <c r="L15" s="58">
        <v>8</v>
      </c>
      <c r="M15" s="58"/>
      <c r="N15" s="59"/>
      <c r="O15" s="59"/>
      <c r="P15" s="58">
        <v>0</v>
      </c>
      <c r="Q15" s="58"/>
      <c r="R15" s="58">
        <v>8</v>
      </c>
      <c r="S15" s="58"/>
      <c r="T15" s="58">
        <v>0</v>
      </c>
      <c r="U15" s="58"/>
      <c r="V15" s="58">
        <v>8</v>
      </c>
      <c r="W15" s="58"/>
      <c r="X15" s="58">
        <v>8</v>
      </c>
      <c r="Y15" s="58"/>
      <c r="Z15" s="58"/>
      <c r="AA15" s="58"/>
      <c r="AB15" s="59"/>
      <c r="AC15" s="59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59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9"/>
      <c r="BE15" s="59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60">
        <f t="shared" si="0"/>
        <v>32</v>
      </c>
      <c r="BQ15" s="27">
        <f t="shared" si="1"/>
        <v>0</v>
      </c>
      <c r="BR15" s="27">
        <f t="shared" si="2"/>
        <v>0</v>
      </c>
      <c r="BS15" s="27">
        <f t="shared" si="3"/>
        <v>0</v>
      </c>
      <c r="BT15" s="28"/>
      <c r="BU15" s="17" t="s">
        <v>73</v>
      </c>
    </row>
    <row r="16" spans="1:73" s="18" customFormat="1" ht="29.55" customHeight="1">
      <c r="A16" s="37" t="s">
        <v>31</v>
      </c>
      <c r="B16" s="57" t="s">
        <v>95</v>
      </c>
      <c r="C16" s="55" t="s">
        <v>96</v>
      </c>
      <c r="D16" s="32" t="s">
        <v>82</v>
      </c>
      <c r="E16" s="46">
        <v>520000</v>
      </c>
      <c r="F16" s="58"/>
      <c r="G16" s="58"/>
      <c r="H16" s="58"/>
      <c r="I16" s="58"/>
      <c r="J16" s="58"/>
      <c r="K16" s="58"/>
      <c r="L16" s="58">
        <v>8</v>
      </c>
      <c r="M16" s="58"/>
      <c r="N16" s="59"/>
      <c r="O16" s="59"/>
      <c r="P16" s="58">
        <v>8</v>
      </c>
      <c r="Q16" s="58"/>
      <c r="R16" s="58">
        <v>8</v>
      </c>
      <c r="S16" s="58"/>
      <c r="T16" s="58">
        <v>8</v>
      </c>
      <c r="U16" s="58"/>
      <c r="V16" s="58">
        <v>8</v>
      </c>
      <c r="W16" s="58"/>
      <c r="X16" s="58">
        <v>8</v>
      </c>
      <c r="Y16" s="58"/>
      <c r="Z16" s="58"/>
      <c r="AA16" s="58"/>
      <c r="AB16" s="59"/>
      <c r="AC16" s="59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59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9"/>
      <c r="BE16" s="59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60">
        <f t="shared" si="0"/>
        <v>48</v>
      </c>
      <c r="BQ16" s="27">
        <f t="shared" si="1"/>
        <v>0</v>
      </c>
      <c r="BR16" s="27">
        <f t="shared" si="2"/>
        <v>0</v>
      </c>
      <c r="BS16" s="27">
        <f t="shared" si="3"/>
        <v>0</v>
      </c>
      <c r="BT16" s="28"/>
      <c r="BU16" s="17" t="s">
        <v>73</v>
      </c>
    </row>
    <row r="17" spans="1:73" s="18" customFormat="1" ht="29.55" customHeight="1">
      <c r="A17" s="37" t="s">
        <v>32</v>
      </c>
      <c r="B17" s="54" t="s">
        <v>89</v>
      </c>
      <c r="C17" s="55" t="s">
        <v>90</v>
      </c>
      <c r="D17" s="32" t="s">
        <v>82</v>
      </c>
      <c r="E17" s="46">
        <v>520000</v>
      </c>
      <c r="F17" s="29"/>
      <c r="G17" s="29"/>
      <c r="H17" s="29"/>
      <c r="I17" s="29"/>
      <c r="J17" s="29"/>
      <c r="K17" s="29"/>
      <c r="L17" s="29">
        <v>0</v>
      </c>
      <c r="M17" s="29"/>
      <c r="N17" s="41"/>
      <c r="O17" s="41"/>
      <c r="P17" s="58">
        <v>0</v>
      </c>
      <c r="Q17" s="29"/>
      <c r="R17" s="29">
        <v>8</v>
      </c>
      <c r="S17" s="29"/>
      <c r="T17" s="29">
        <v>8</v>
      </c>
      <c r="U17" s="29"/>
      <c r="V17" s="29">
        <v>8</v>
      </c>
      <c r="W17" s="29"/>
      <c r="X17" s="29">
        <v>8</v>
      </c>
      <c r="Y17" s="29"/>
      <c r="Z17" s="29"/>
      <c r="AA17" s="29"/>
      <c r="AB17" s="41"/>
      <c r="AC17" s="41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1"/>
      <c r="AQ17" s="41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1"/>
      <c r="BE17" s="41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0"/>
        <v>32</v>
      </c>
      <c r="BQ17" s="27">
        <f t="shared" si="1"/>
        <v>0</v>
      </c>
      <c r="BR17" s="27">
        <f t="shared" si="2"/>
        <v>0</v>
      </c>
      <c r="BS17" s="27">
        <f t="shared" si="3"/>
        <v>0</v>
      </c>
      <c r="BT17" s="28"/>
      <c r="BU17" s="17" t="s">
        <v>73</v>
      </c>
    </row>
    <row r="18" spans="1:73" s="18" customFormat="1" ht="29.55" customHeight="1">
      <c r="A18" s="37" t="s">
        <v>35</v>
      </c>
      <c r="B18" s="54"/>
      <c r="C18" s="55"/>
      <c r="D18" s="32"/>
      <c r="E18" s="46"/>
      <c r="F18" s="29"/>
      <c r="G18" s="29"/>
      <c r="H18" s="29"/>
      <c r="I18" s="29"/>
      <c r="J18" s="29"/>
      <c r="K18" s="29"/>
      <c r="L18" s="29"/>
      <c r="M18" s="29"/>
      <c r="N18" s="41"/>
      <c r="O18" s="41"/>
      <c r="P18" s="5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1"/>
      <c r="AC18" s="41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1"/>
      <c r="AQ18" s="41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1"/>
      <c r="BE18" s="41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/>
      <c r="BQ18" s="27"/>
      <c r="BR18" s="27"/>
      <c r="BS18" s="27"/>
      <c r="BT18" s="28"/>
      <c r="BU18" s="17"/>
    </row>
    <row r="19" spans="1:73" s="18" customFormat="1" ht="29.55" customHeight="1">
      <c r="A19" s="37" t="s">
        <v>36</v>
      </c>
      <c r="B19" s="57"/>
      <c r="C19" s="55"/>
      <c r="D19" s="32"/>
      <c r="E19" s="46"/>
      <c r="F19" s="29"/>
      <c r="G19" s="29"/>
      <c r="H19" s="29"/>
      <c r="I19" s="29"/>
      <c r="J19" s="29"/>
      <c r="K19" s="29"/>
      <c r="L19" s="29"/>
      <c r="M19" s="29"/>
      <c r="N19" s="41"/>
      <c r="O19" s="41"/>
      <c r="P19" s="5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1"/>
      <c r="AC19" s="41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1"/>
      <c r="AQ19" s="41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1"/>
      <c r="BE19" s="41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/>
      <c r="BQ19" s="27"/>
      <c r="BR19" s="27"/>
      <c r="BS19" s="27"/>
      <c r="BT19" s="28"/>
      <c r="BU19" s="17"/>
    </row>
    <row r="20" spans="1:73" s="18" customFormat="1" ht="29.55" customHeight="1">
      <c r="A20" s="37" t="s">
        <v>37</v>
      </c>
      <c r="B20" s="15"/>
      <c r="C20" s="16"/>
      <c r="D20" s="42"/>
      <c r="E20" s="46"/>
      <c r="F20" s="29"/>
      <c r="G20" s="29"/>
      <c r="H20" s="29"/>
      <c r="I20" s="29"/>
      <c r="J20" s="29"/>
      <c r="K20" s="29"/>
      <c r="L20" s="29"/>
      <c r="M20" s="29"/>
      <c r="N20" s="41"/>
      <c r="O20" s="4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1"/>
      <c r="AC20" s="4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1"/>
      <c r="AQ20" s="41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1"/>
      <c r="BE20" s="41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0"/>
        <v>0</v>
      </c>
      <c r="BQ20" s="27">
        <f t="shared" si="1"/>
        <v>0</v>
      </c>
      <c r="BR20" s="27">
        <f t="shared" si="2"/>
        <v>0</v>
      </c>
      <c r="BS20" s="27">
        <f t="shared" si="3"/>
        <v>0</v>
      </c>
      <c r="BT20" s="28"/>
      <c r="BU20" s="17"/>
    </row>
    <row r="21" spans="1:73" s="18" customFormat="1" ht="29.55" customHeight="1">
      <c r="A21" s="37" t="s">
        <v>38</v>
      </c>
      <c r="B21" s="15"/>
      <c r="C21" s="16"/>
      <c r="D21" s="42"/>
      <c r="E21" s="46"/>
      <c r="F21" s="29"/>
      <c r="G21" s="29"/>
      <c r="H21" s="29"/>
      <c r="I21" s="29"/>
      <c r="J21" s="29"/>
      <c r="K21" s="29"/>
      <c r="L21" s="29"/>
      <c r="M21" s="29"/>
      <c r="N21" s="41"/>
      <c r="O21" s="4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1"/>
      <c r="AC21" s="41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1"/>
      <c r="AQ21" s="41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1"/>
      <c r="BE21" s="41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0"/>
        <v>0</v>
      </c>
      <c r="BQ21" s="27">
        <f t="shared" si="1"/>
        <v>0</v>
      </c>
      <c r="BR21" s="27">
        <f t="shared" si="2"/>
        <v>0</v>
      </c>
      <c r="BS21" s="27">
        <f t="shared" si="3"/>
        <v>0</v>
      </c>
      <c r="BT21" s="28"/>
      <c r="BU21" s="17"/>
    </row>
    <row r="22" spans="1:73" s="18" customFormat="1" ht="29.55" customHeight="1">
      <c r="A22" s="40"/>
      <c r="B22" s="30"/>
      <c r="C22" s="31"/>
      <c r="D22" s="31"/>
      <c r="E22" s="46"/>
      <c r="F22" s="29"/>
      <c r="G22" s="29"/>
      <c r="H22" s="29"/>
      <c r="I22" s="29"/>
      <c r="J22" s="29"/>
      <c r="K22" s="29"/>
      <c r="L22" s="29"/>
      <c r="M22" s="29"/>
      <c r="N22" s="41"/>
      <c r="O22" s="4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1"/>
      <c r="AC22" s="41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1"/>
      <c r="AQ22" s="41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1"/>
      <c r="BE22" s="41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0"/>
        <v>0</v>
      </c>
      <c r="BQ22" s="27">
        <f t="shared" si="1"/>
        <v>0</v>
      </c>
      <c r="BR22" s="27">
        <f t="shared" si="2"/>
        <v>0</v>
      </c>
      <c r="BS22" s="27">
        <f t="shared" si="3"/>
        <v>0</v>
      </c>
      <c r="BT22" s="28"/>
      <c r="BU22" s="17"/>
    </row>
    <row r="23" spans="1:73" s="12" customFormat="1" ht="39.6" customHeight="1">
      <c r="A23" s="110" t="s">
        <v>4</v>
      </c>
      <c r="B23" s="111"/>
      <c r="C23" s="111"/>
      <c r="D23" s="111"/>
      <c r="E23" s="11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20">
        <f>SUM(BP11:BP22)</f>
        <v>275</v>
      </c>
      <c r="BQ23" s="20">
        <f>SUM(BQ11:BQ22)</f>
        <v>0</v>
      </c>
      <c r="BR23" s="20">
        <f>SUM(BR11:BR22)</f>
        <v>0</v>
      </c>
      <c r="BS23" s="20">
        <f>SUM(BS11:BS22)</f>
        <v>0</v>
      </c>
      <c r="BT23" s="20">
        <f>SUM(BT11:BT22)</f>
        <v>0</v>
      </c>
      <c r="BU23" s="21"/>
    </row>
    <row r="24" spans="1:73" s="26" customFormat="1" ht="39.6" customHeight="1">
      <c r="A24" s="38"/>
      <c r="B24" s="22"/>
      <c r="C24" s="22"/>
      <c r="D24" s="22"/>
      <c r="E24" s="47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4"/>
      <c r="BQ24" s="24"/>
      <c r="BR24" s="24"/>
      <c r="BS24" s="24"/>
      <c r="BT24" s="24"/>
      <c r="BU24" s="25"/>
    </row>
    <row r="25" spans="1:73" ht="39.6" customHeight="1">
      <c r="E25" s="44" t="s">
        <v>15</v>
      </c>
      <c r="I25" s="5"/>
      <c r="J25" s="3"/>
      <c r="K25" s="3"/>
      <c r="L25" s="3"/>
      <c r="M25" s="3"/>
      <c r="N25" s="3"/>
      <c r="O25" s="3"/>
      <c r="P25" s="5"/>
      <c r="Q25" s="5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73" ht="39.6" customHeight="1">
      <c r="E26" s="48" t="s">
        <v>16</v>
      </c>
      <c r="I26" s="5"/>
      <c r="J26" s="3"/>
      <c r="K26" s="3"/>
      <c r="L26" s="3"/>
      <c r="M26" s="3"/>
      <c r="N26" s="3"/>
      <c r="O26" s="3"/>
      <c r="P26" s="5"/>
      <c r="Q26" s="5"/>
    </row>
    <row r="27" spans="1:73" ht="39.6" customHeight="1">
      <c r="E27" s="49"/>
      <c r="I27" s="5"/>
      <c r="J27" s="3"/>
      <c r="K27" s="3"/>
      <c r="L27" s="3"/>
      <c r="M27" s="3"/>
      <c r="N27" s="3"/>
      <c r="O27" s="3"/>
      <c r="P27" s="5"/>
      <c r="Q27" s="5"/>
    </row>
    <row r="28" spans="1:73" ht="39.6" customHeight="1">
      <c r="E28" s="49"/>
      <c r="I28" s="5"/>
      <c r="J28" s="3"/>
      <c r="K28" s="3"/>
      <c r="L28" s="3"/>
      <c r="M28" s="3"/>
      <c r="N28" s="3"/>
      <c r="O28" s="3"/>
      <c r="P28" s="5"/>
      <c r="Q28" s="5"/>
    </row>
    <row r="29" spans="1:73" ht="39.6" customHeight="1">
      <c r="E29" s="49"/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0" t="s">
        <v>22</v>
      </c>
      <c r="I30" s="5"/>
      <c r="J30" s="3"/>
      <c r="K30" s="3"/>
      <c r="L30" s="3"/>
      <c r="M30" s="3"/>
      <c r="N30" s="3"/>
      <c r="O30" s="3"/>
      <c r="P30" s="5"/>
      <c r="Q30" s="5"/>
    </row>
  </sheetData>
  <mergeCells count="73"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BD9:BE9"/>
    <mergeCell ref="BF9:BG9"/>
    <mergeCell ref="AJ9:AK9"/>
    <mergeCell ref="AL9:AM9"/>
    <mergeCell ref="AN9:AO9"/>
    <mergeCell ref="AP9:AQ9"/>
    <mergeCell ref="AR9:AS9"/>
    <mergeCell ref="AT9:AU9"/>
    <mergeCell ref="A23:E23"/>
    <mergeCell ref="AV9:AW9"/>
    <mergeCell ref="AX9:AY9"/>
    <mergeCell ref="AZ9:BA9"/>
    <mergeCell ref="BB9:BC9"/>
    <mergeCell ref="X9:Y9"/>
    <mergeCell ref="Z9:AA9"/>
    <mergeCell ref="AB9:AC9"/>
    <mergeCell ref="AD9:AE9"/>
    <mergeCell ref="AF9:AG9"/>
    <mergeCell ref="AH9:AI9"/>
  </mergeCells>
  <phoneticPr fontId="21" type="noConversion"/>
  <conditionalFormatting sqref="B20:B1048576 B1:B10">
    <cfRule type="duplicateValues" dxfId="33" priority="3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30" priority="5">
      <formula>IF(OR(H$10="CN",H$10="OT CN"),1,0)</formula>
    </cfRule>
  </conditionalFormatting>
  <conditionalFormatting sqref="F11:BO24">
    <cfRule type="expression" dxfId="29" priority="2">
      <formula>IF(OR(F$10="CN",F$10="OT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6F4FF6FA-7360-4BFB-966F-CDFE8EC3626F}">
            <xm:f>NOT(ISERROR(SEARCH(#REF!,B20)))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B20:D22</xm:sqref>
        </x14:conditionalFormatting>
        <x14:conditionalFormatting xmlns:xm="http://schemas.microsoft.com/office/excel/2006/main">
          <x14:cfRule type="containsText" priority="1" operator="containsText" id="{64B4774F-B14E-4CF3-90DC-C319B07E45F3}">
            <xm:f>NOT(ISERROR(SEARCH(#REF!,C11)))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0C12-63D2-4142-8A76-FD9BCA85E542}">
  <dimension ref="A1:BU33"/>
  <sheetViews>
    <sheetView zoomScale="70" zoomScaleNormal="70" workbookViewId="0">
      <selection activeCell="X18" sqref="X18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9.109375" style="1" customWidth="1"/>
    <col min="4" max="4" width="23.44140625" style="1" customWidth="1"/>
    <col min="5" max="5" width="12.21875" style="51" customWidth="1"/>
    <col min="6" max="11" width="6.44140625" style="1" hidden="1" customWidth="1"/>
    <col min="12" max="25" width="6.44140625" style="1" customWidth="1"/>
    <col min="26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/>
      <c r="G8" s="84"/>
      <c r="H8" s="83"/>
      <c r="I8" s="84"/>
      <c r="J8" s="83"/>
      <c r="K8" s="84"/>
      <c r="L8" s="83">
        <v>22</v>
      </c>
      <c r="M8" s="84"/>
      <c r="N8" s="83">
        <v>23</v>
      </c>
      <c r="O8" s="84"/>
      <c r="P8" s="83">
        <v>24</v>
      </c>
      <c r="Q8" s="84"/>
      <c r="R8" s="83">
        <v>25</v>
      </c>
      <c r="S8" s="84"/>
      <c r="T8" s="83">
        <v>26</v>
      </c>
      <c r="U8" s="84"/>
      <c r="V8" s="83">
        <v>27</v>
      </c>
      <c r="W8" s="84"/>
      <c r="X8" s="83">
        <v>28</v>
      </c>
      <c r="Y8" s="84"/>
      <c r="Z8" s="83">
        <v>22</v>
      </c>
      <c r="AA8" s="84"/>
      <c r="AB8" s="83">
        <v>23</v>
      </c>
      <c r="AC8" s="84"/>
      <c r="AD8" s="83">
        <v>24</v>
      </c>
      <c r="AE8" s="84"/>
      <c r="AF8" s="83">
        <v>25</v>
      </c>
      <c r="AG8" s="84"/>
      <c r="AH8" s="83">
        <v>26</v>
      </c>
      <c r="AI8" s="84"/>
      <c r="AJ8" s="83">
        <v>27</v>
      </c>
      <c r="AK8" s="84"/>
      <c r="AL8" s="83">
        <v>28</v>
      </c>
      <c r="AM8" s="84"/>
      <c r="AN8" s="83">
        <v>29</v>
      </c>
      <c r="AO8" s="84"/>
      <c r="AP8" s="83">
        <v>30</v>
      </c>
      <c r="AQ8" s="84"/>
      <c r="AR8" s="83">
        <v>31</v>
      </c>
      <c r="AS8" s="84"/>
      <c r="AT8" s="83">
        <v>32</v>
      </c>
      <c r="AU8" s="84"/>
      <c r="AV8" s="83">
        <v>33</v>
      </c>
      <c r="AW8" s="84"/>
      <c r="AX8" s="83">
        <v>34</v>
      </c>
      <c r="AY8" s="84"/>
      <c r="AZ8" s="83">
        <v>35</v>
      </c>
      <c r="BA8" s="84"/>
      <c r="BB8" s="83">
        <v>36</v>
      </c>
      <c r="BC8" s="84"/>
      <c r="BD8" s="83">
        <v>37</v>
      </c>
      <c r="BE8" s="84"/>
      <c r="BF8" s="83">
        <v>38</v>
      </c>
      <c r="BG8" s="84"/>
      <c r="BH8" s="83">
        <v>39</v>
      </c>
      <c r="BI8" s="84"/>
      <c r="BJ8" s="83">
        <v>40</v>
      </c>
      <c r="BK8" s="84"/>
      <c r="BL8" s="83">
        <v>41</v>
      </c>
      <c r="BM8" s="84"/>
      <c r="BN8" s="83">
        <v>42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96"/>
      <c r="G9" s="97"/>
      <c r="H9" s="96"/>
      <c r="I9" s="97"/>
      <c r="J9" s="96"/>
      <c r="K9" s="97"/>
      <c r="L9" s="96" t="s">
        <v>13</v>
      </c>
      <c r="M9" s="97"/>
      <c r="N9" s="96" t="s">
        <v>14</v>
      </c>
      <c r="O9" s="97"/>
      <c r="P9" s="96" t="s">
        <v>8</v>
      </c>
      <c r="Q9" s="97"/>
      <c r="R9" s="96" t="s">
        <v>9</v>
      </c>
      <c r="S9" s="97"/>
      <c r="T9" s="96" t="s">
        <v>10</v>
      </c>
      <c r="U9" s="97"/>
      <c r="V9" s="96" t="s">
        <v>11</v>
      </c>
      <c r="W9" s="97"/>
      <c r="X9" s="96" t="s">
        <v>12</v>
      </c>
      <c r="Y9" s="97"/>
      <c r="Z9" s="96" t="s">
        <v>13</v>
      </c>
      <c r="AA9" s="97"/>
      <c r="AB9" s="96" t="s">
        <v>14</v>
      </c>
      <c r="AC9" s="97"/>
      <c r="AD9" s="96" t="s">
        <v>8</v>
      </c>
      <c r="AE9" s="97"/>
      <c r="AF9" s="96" t="s">
        <v>9</v>
      </c>
      <c r="AG9" s="97"/>
      <c r="AH9" s="96" t="s">
        <v>10</v>
      </c>
      <c r="AI9" s="97"/>
      <c r="AJ9" s="96" t="s">
        <v>11</v>
      </c>
      <c r="AK9" s="97"/>
      <c r="AL9" s="96" t="s">
        <v>12</v>
      </c>
      <c r="AM9" s="97"/>
      <c r="AN9" s="96" t="s">
        <v>13</v>
      </c>
      <c r="AO9" s="97"/>
      <c r="AP9" s="96" t="s">
        <v>14</v>
      </c>
      <c r="AQ9" s="97"/>
      <c r="AR9" s="96" t="s">
        <v>8</v>
      </c>
      <c r="AS9" s="97"/>
      <c r="AT9" s="96" t="s">
        <v>9</v>
      </c>
      <c r="AU9" s="97"/>
      <c r="AV9" s="96" t="s">
        <v>10</v>
      </c>
      <c r="AW9" s="97"/>
      <c r="AX9" s="96" t="s">
        <v>11</v>
      </c>
      <c r="AY9" s="97"/>
      <c r="AZ9" s="96" t="s">
        <v>12</v>
      </c>
      <c r="BA9" s="97"/>
      <c r="BB9" s="96" t="s">
        <v>13</v>
      </c>
      <c r="BC9" s="97"/>
      <c r="BD9" s="96" t="s">
        <v>14</v>
      </c>
      <c r="BE9" s="97"/>
      <c r="BF9" s="96" t="s">
        <v>8</v>
      </c>
      <c r="BG9" s="97"/>
      <c r="BH9" s="96" t="s">
        <v>9</v>
      </c>
      <c r="BI9" s="97"/>
      <c r="BJ9" s="96" t="s">
        <v>10</v>
      </c>
      <c r="BK9" s="97"/>
      <c r="BL9" s="96" t="s">
        <v>11</v>
      </c>
      <c r="BM9" s="97"/>
      <c r="BN9" s="96" t="s">
        <v>12</v>
      </c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39" t="s">
        <v>20</v>
      </c>
      <c r="O10" s="39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39" t="s">
        <v>20</v>
      </c>
      <c r="AC10" s="39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39" t="s">
        <v>20</v>
      </c>
      <c r="AQ10" s="39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39" t="s">
        <v>20</v>
      </c>
      <c r="BE10" s="39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4" t="s">
        <v>76</v>
      </c>
      <c r="C11" s="55" t="s">
        <v>77</v>
      </c>
      <c r="D11" s="42" t="s">
        <v>83</v>
      </c>
      <c r="E11" s="46">
        <v>700000</v>
      </c>
      <c r="F11" s="58"/>
      <c r="G11" s="58"/>
      <c r="H11" s="58"/>
      <c r="I11" s="58"/>
      <c r="J11" s="58"/>
      <c r="K11" s="58"/>
      <c r="L11" s="58">
        <v>8</v>
      </c>
      <c r="M11" s="58"/>
      <c r="N11" s="59"/>
      <c r="O11" s="59"/>
      <c r="P11" s="58">
        <v>8</v>
      </c>
      <c r="Q11" s="58"/>
      <c r="R11" s="58">
        <v>8</v>
      </c>
      <c r="S11" s="58"/>
      <c r="T11" s="58">
        <v>8</v>
      </c>
      <c r="U11" s="58"/>
      <c r="V11" s="58">
        <v>8</v>
      </c>
      <c r="W11" s="58"/>
      <c r="X11" s="58">
        <v>8</v>
      </c>
      <c r="Y11" s="58"/>
      <c r="Z11" s="58"/>
      <c r="AA11" s="58"/>
      <c r="AB11" s="59"/>
      <c r="AC11" s="59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59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9"/>
      <c r="BE11" s="59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60">
        <f>SUMIF($F$10:$BO$10,"HC",F11:BO11)</f>
        <v>48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 t="s">
        <v>73</v>
      </c>
    </row>
    <row r="12" spans="1:73" s="18" customFormat="1" ht="29.55" customHeight="1">
      <c r="A12" s="37" t="s">
        <v>27</v>
      </c>
      <c r="B12" s="54" t="s">
        <v>97</v>
      </c>
      <c r="C12" s="55" t="s">
        <v>98</v>
      </c>
      <c r="D12" s="78" t="s">
        <v>83</v>
      </c>
      <c r="E12" s="46">
        <v>700000</v>
      </c>
      <c r="F12" s="58"/>
      <c r="G12" s="58"/>
      <c r="H12" s="58"/>
      <c r="I12" s="58"/>
      <c r="J12" s="58"/>
      <c r="K12" s="58"/>
      <c r="L12" s="58">
        <v>8</v>
      </c>
      <c r="M12" s="58"/>
      <c r="N12" s="59"/>
      <c r="O12" s="59"/>
      <c r="P12" s="58">
        <v>8</v>
      </c>
      <c r="Q12" s="58"/>
      <c r="R12" s="58">
        <v>8</v>
      </c>
      <c r="S12" s="58"/>
      <c r="T12" s="58">
        <v>8</v>
      </c>
      <c r="U12" s="58"/>
      <c r="V12" s="58">
        <v>8</v>
      </c>
      <c r="W12" s="58"/>
      <c r="X12" s="58">
        <v>8</v>
      </c>
      <c r="Y12" s="58"/>
      <c r="Z12" s="58"/>
      <c r="AA12" s="58"/>
      <c r="AB12" s="59"/>
      <c r="AC12" s="59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59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9"/>
      <c r="BE12" s="59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60">
        <f>SUMIF($F$10:$BO$10,"HC",F12:BO12)</f>
        <v>48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 t="s">
        <v>73</v>
      </c>
    </row>
    <row r="13" spans="1:73" s="18" customFormat="1" ht="29.55" customHeight="1">
      <c r="A13" s="37" t="s">
        <v>28</v>
      </c>
      <c r="B13" s="57" t="s">
        <v>140</v>
      </c>
      <c r="C13" s="55" t="s">
        <v>141</v>
      </c>
      <c r="D13" s="78" t="s">
        <v>83</v>
      </c>
      <c r="E13" s="46">
        <v>700000</v>
      </c>
      <c r="F13" s="29"/>
      <c r="G13" s="29"/>
      <c r="H13" s="29"/>
      <c r="I13" s="29"/>
      <c r="J13" s="29"/>
      <c r="K13" s="29"/>
      <c r="L13" s="29"/>
      <c r="M13" s="29"/>
      <c r="N13" s="41"/>
      <c r="O13" s="41"/>
      <c r="P13" s="29"/>
      <c r="Q13" s="29"/>
      <c r="R13" s="29">
        <v>8</v>
      </c>
      <c r="S13" s="29"/>
      <c r="T13" s="29">
        <v>8</v>
      </c>
      <c r="U13" s="29"/>
      <c r="V13" s="29">
        <v>8</v>
      </c>
      <c r="W13" s="29"/>
      <c r="X13" s="29">
        <v>8</v>
      </c>
      <c r="Y13" s="29"/>
      <c r="Z13" s="29"/>
      <c r="AA13" s="29"/>
      <c r="AB13" s="41"/>
      <c r="AC13" s="41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1"/>
      <c r="AQ13" s="41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1"/>
      <c r="BE13" s="41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32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 t="s">
        <v>73</v>
      </c>
    </row>
    <row r="14" spans="1:73" s="18" customFormat="1" ht="29.55" customHeight="1">
      <c r="A14" s="37" t="s">
        <v>29</v>
      </c>
      <c r="B14" s="15"/>
      <c r="C14" s="16"/>
      <c r="D14" s="42"/>
      <c r="E14" s="46"/>
      <c r="F14" s="29"/>
      <c r="G14" s="29"/>
      <c r="H14" s="29"/>
      <c r="I14" s="29"/>
      <c r="J14" s="29"/>
      <c r="K14" s="29"/>
      <c r="L14" s="29"/>
      <c r="M14" s="29"/>
      <c r="N14" s="41"/>
      <c r="O14" s="41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41"/>
      <c r="AC14" s="41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1"/>
      <c r="AQ14" s="41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1"/>
      <c r="BE14" s="41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0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37" t="s">
        <v>30</v>
      </c>
      <c r="B15" s="15"/>
      <c r="C15" s="16"/>
      <c r="D15" s="42"/>
      <c r="E15" s="46"/>
      <c r="F15" s="29"/>
      <c r="G15" s="29"/>
      <c r="H15" s="29"/>
      <c r="I15" s="29"/>
      <c r="J15" s="29"/>
      <c r="K15" s="29"/>
      <c r="L15" s="29"/>
      <c r="M15" s="29"/>
      <c r="N15" s="41"/>
      <c r="O15" s="41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41"/>
      <c r="AC15" s="41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1"/>
      <c r="AQ15" s="41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1"/>
      <c r="BE15" s="41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37" t="s">
        <v>31</v>
      </c>
      <c r="B16" s="15"/>
      <c r="C16" s="16"/>
      <c r="D16" s="42"/>
      <c r="E16" s="46"/>
      <c r="F16" s="29"/>
      <c r="G16" s="29"/>
      <c r="H16" s="29"/>
      <c r="I16" s="29"/>
      <c r="J16" s="29"/>
      <c r="K16" s="29"/>
      <c r="L16" s="29"/>
      <c r="M16" s="29"/>
      <c r="N16" s="41"/>
      <c r="O16" s="41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1"/>
      <c r="AC16" s="41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1"/>
      <c r="AQ16" s="41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1"/>
      <c r="BE16" s="41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37" t="s">
        <v>32</v>
      </c>
      <c r="B17" s="15"/>
      <c r="C17" s="16"/>
      <c r="D17" s="42"/>
      <c r="E17" s="46"/>
      <c r="F17" s="29"/>
      <c r="G17" s="29"/>
      <c r="H17" s="29"/>
      <c r="I17" s="29"/>
      <c r="J17" s="29"/>
      <c r="K17" s="29"/>
      <c r="L17" s="29"/>
      <c r="M17" s="29"/>
      <c r="N17" s="41"/>
      <c r="O17" s="41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41"/>
      <c r="AC17" s="41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1"/>
      <c r="AQ17" s="41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1"/>
      <c r="BE17" s="41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37" t="s">
        <v>35</v>
      </c>
      <c r="B18" s="15"/>
      <c r="C18" s="16"/>
      <c r="D18" s="42"/>
      <c r="E18" s="46"/>
      <c r="F18" s="29"/>
      <c r="G18" s="29"/>
      <c r="H18" s="29"/>
      <c r="I18" s="29"/>
      <c r="J18" s="29"/>
      <c r="K18" s="29"/>
      <c r="L18" s="29"/>
      <c r="M18" s="29"/>
      <c r="N18" s="41"/>
      <c r="O18" s="41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1"/>
      <c r="AC18" s="41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1"/>
      <c r="AQ18" s="41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1"/>
      <c r="BE18" s="41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37" t="s">
        <v>36</v>
      </c>
      <c r="B19" s="15"/>
      <c r="C19" s="16"/>
      <c r="D19" s="42"/>
      <c r="E19" s="46"/>
      <c r="F19" s="29"/>
      <c r="G19" s="29"/>
      <c r="H19" s="29"/>
      <c r="I19" s="29"/>
      <c r="J19" s="29"/>
      <c r="K19" s="29"/>
      <c r="L19" s="29"/>
      <c r="M19" s="29"/>
      <c r="N19" s="41"/>
      <c r="O19" s="41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1"/>
      <c r="AC19" s="41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1"/>
      <c r="AQ19" s="41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1"/>
      <c r="BE19" s="41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37" t="s">
        <v>37</v>
      </c>
      <c r="B20" s="15"/>
      <c r="C20" s="16"/>
      <c r="D20" s="42"/>
      <c r="E20" s="46"/>
      <c r="F20" s="29"/>
      <c r="G20" s="29"/>
      <c r="H20" s="29"/>
      <c r="I20" s="29"/>
      <c r="J20" s="29"/>
      <c r="K20" s="29"/>
      <c r="L20" s="29"/>
      <c r="M20" s="29"/>
      <c r="N20" s="41"/>
      <c r="O20" s="4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1"/>
      <c r="AC20" s="4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1"/>
      <c r="AQ20" s="41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1"/>
      <c r="BE20" s="41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37" t="s">
        <v>38</v>
      </c>
      <c r="B21" s="15"/>
      <c r="C21" s="16"/>
      <c r="D21" s="42"/>
      <c r="E21" s="46"/>
      <c r="F21" s="29"/>
      <c r="G21" s="29"/>
      <c r="H21" s="29"/>
      <c r="I21" s="29"/>
      <c r="J21" s="29"/>
      <c r="K21" s="29"/>
      <c r="L21" s="29"/>
      <c r="M21" s="29"/>
      <c r="N21" s="41"/>
      <c r="O21" s="4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1"/>
      <c r="AC21" s="41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1"/>
      <c r="AQ21" s="41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1"/>
      <c r="BE21" s="41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37" t="s">
        <v>39</v>
      </c>
      <c r="B22" s="15"/>
      <c r="C22" s="16"/>
      <c r="D22" s="42"/>
      <c r="E22" s="46"/>
      <c r="F22" s="29"/>
      <c r="G22" s="29"/>
      <c r="H22" s="29"/>
      <c r="I22" s="29"/>
      <c r="J22" s="29"/>
      <c r="K22" s="29"/>
      <c r="L22" s="29"/>
      <c r="M22" s="29"/>
      <c r="N22" s="41"/>
      <c r="O22" s="4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1"/>
      <c r="AC22" s="41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1"/>
      <c r="AQ22" s="41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1"/>
      <c r="BE22" s="41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37" t="s">
        <v>40</v>
      </c>
      <c r="B23" s="15"/>
      <c r="C23" s="16"/>
      <c r="D23" s="42"/>
      <c r="E23" s="46"/>
      <c r="F23" s="29"/>
      <c r="G23" s="29"/>
      <c r="H23" s="29"/>
      <c r="I23" s="29"/>
      <c r="J23" s="29"/>
      <c r="K23" s="29"/>
      <c r="L23" s="29"/>
      <c r="M23" s="29"/>
      <c r="N23" s="41"/>
      <c r="O23" s="4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1"/>
      <c r="AC23" s="41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1"/>
      <c r="AQ23" s="41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1"/>
      <c r="BE23" s="41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37" t="s">
        <v>41</v>
      </c>
      <c r="B24" s="15"/>
      <c r="C24" s="16"/>
      <c r="D24" s="42"/>
      <c r="E24" s="46"/>
      <c r="F24" s="29"/>
      <c r="G24" s="29"/>
      <c r="H24" s="29"/>
      <c r="I24" s="29"/>
      <c r="J24" s="29"/>
      <c r="K24" s="29"/>
      <c r="L24" s="29"/>
      <c r="M24" s="29"/>
      <c r="N24" s="41"/>
      <c r="O24" s="41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1"/>
      <c r="AC24" s="41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1"/>
      <c r="AQ24" s="41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1"/>
      <c r="BE24" s="41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0"/>
      <c r="B25" s="30"/>
      <c r="C25" s="31"/>
      <c r="D25" s="31"/>
      <c r="E25" s="46"/>
      <c r="F25" s="29"/>
      <c r="G25" s="29"/>
      <c r="H25" s="29"/>
      <c r="I25" s="29"/>
      <c r="J25" s="29"/>
      <c r="K25" s="29"/>
      <c r="L25" s="29"/>
      <c r="M25" s="29"/>
      <c r="N25" s="41"/>
      <c r="O25" s="41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1"/>
      <c r="AC25" s="41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1"/>
      <c r="AQ25" s="41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1"/>
      <c r="BE25" s="41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110" t="s">
        <v>4</v>
      </c>
      <c r="B26" s="111"/>
      <c r="C26" s="111"/>
      <c r="D26" s="111"/>
      <c r="E26" s="11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128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38"/>
      <c r="B27" s="22"/>
      <c r="C27" s="22"/>
      <c r="D27" s="22"/>
      <c r="E27" s="4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44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48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49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49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49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0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BB9:BC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AT9:AU9"/>
    <mergeCell ref="A26:E26"/>
    <mergeCell ref="AV9:AW9"/>
    <mergeCell ref="AX9:AY9"/>
    <mergeCell ref="AZ9:BA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conditionalFormatting sqref="B1:B10 B14:B1048576">
    <cfRule type="duplicateValues" dxfId="28" priority="2"/>
  </conditionalFormatting>
  <conditionalFormatting sqref="F8:F9 H8:H9 J8:J9 Z8:Z9 AB8:AB9 AD8:AD9 AF8:AF9 AH8:AH9 AJ8:AJ9 AL8:AL9 AN8:AN9 AP8:AP9 AR8:AR9 AT8:AT9 AV8:AV9 AX8:AX9 AZ8:AZ9 BB8:BB9 BD8:BD9 BF8:BF9 BH8:BH9 BJ8:BJ9 BL8:BL9 BN8:BN9">
    <cfRule type="expression" dxfId="26" priority="5">
      <formula>IF(OR(H$10="CN",H$10="OT CN"),1,0)</formula>
    </cfRule>
  </conditionalFormatting>
  <conditionalFormatting sqref="F11:BO27">
    <cfRule type="expression" dxfId="25" priority="3">
      <formula>IF(OR(F$10="CN",F$10="OT CN"),1,0)</formula>
    </cfRule>
  </conditionalFormatting>
  <conditionalFormatting sqref="L8:L9 N8:N9 P8:P9 R8:R9 T8:T9 V8:V9 X8:X9">
    <cfRule type="expression" dxfId="24" priority="1">
      <formula>IF(OR(N$10="CN",N$10="OT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8E781DE2-273E-4563-ABC6-92B98F0C5D8A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B14:D25 D11:D13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3"/>
  <sheetViews>
    <sheetView zoomScale="70" zoomScaleNormal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X18" sqref="X18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9.109375" style="1" customWidth="1"/>
    <col min="4" max="4" width="20" style="1" customWidth="1"/>
    <col min="5" max="5" width="12.21875" style="51" customWidth="1"/>
    <col min="6" max="11" width="6.44140625" style="1" hidden="1" customWidth="1"/>
    <col min="12" max="25" width="6.44140625" style="1" customWidth="1"/>
    <col min="26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/>
      <c r="G8" s="84"/>
      <c r="H8" s="83"/>
      <c r="I8" s="84"/>
      <c r="J8" s="83"/>
      <c r="K8" s="84"/>
      <c r="L8" s="83">
        <v>22</v>
      </c>
      <c r="M8" s="84"/>
      <c r="N8" s="83">
        <v>23</v>
      </c>
      <c r="O8" s="84"/>
      <c r="P8" s="83">
        <v>24</v>
      </c>
      <c r="Q8" s="84"/>
      <c r="R8" s="83">
        <v>25</v>
      </c>
      <c r="S8" s="84"/>
      <c r="T8" s="83">
        <v>26</v>
      </c>
      <c r="U8" s="84"/>
      <c r="V8" s="83">
        <v>27</v>
      </c>
      <c r="W8" s="84"/>
      <c r="X8" s="83">
        <v>28</v>
      </c>
      <c r="Y8" s="84"/>
      <c r="Z8" s="83">
        <v>22</v>
      </c>
      <c r="AA8" s="84"/>
      <c r="AB8" s="83">
        <v>23</v>
      </c>
      <c r="AC8" s="84"/>
      <c r="AD8" s="83">
        <v>24</v>
      </c>
      <c r="AE8" s="84"/>
      <c r="AF8" s="83">
        <v>25</v>
      </c>
      <c r="AG8" s="84"/>
      <c r="AH8" s="83">
        <v>26</v>
      </c>
      <c r="AI8" s="84"/>
      <c r="AJ8" s="83">
        <v>27</v>
      </c>
      <c r="AK8" s="84"/>
      <c r="AL8" s="83">
        <v>28</v>
      </c>
      <c r="AM8" s="84"/>
      <c r="AN8" s="83">
        <v>29</v>
      </c>
      <c r="AO8" s="84"/>
      <c r="AP8" s="83">
        <v>30</v>
      </c>
      <c r="AQ8" s="84"/>
      <c r="AR8" s="83">
        <v>31</v>
      </c>
      <c r="AS8" s="84"/>
      <c r="AT8" s="83">
        <v>32</v>
      </c>
      <c r="AU8" s="84"/>
      <c r="AV8" s="83">
        <v>33</v>
      </c>
      <c r="AW8" s="84"/>
      <c r="AX8" s="83">
        <v>34</v>
      </c>
      <c r="AY8" s="84"/>
      <c r="AZ8" s="83">
        <v>35</v>
      </c>
      <c r="BA8" s="84"/>
      <c r="BB8" s="83">
        <v>36</v>
      </c>
      <c r="BC8" s="84"/>
      <c r="BD8" s="83">
        <v>37</v>
      </c>
      <c r="BE8" s="84"/>
      <c r="BF8" s="83">
        <v>38</v>
      </c>
      <c r="BG8" s="84"/>
      <c r="BH8" s="83">
        <v>39</v>
      </c>
      <c r="BI8" s="84"/>
      <c r="BJ8" s="83">
        <v>40</v>
      </c>
      <c r="BK8" s="84"/>
      <c r="BL8" s="83">
        <v>41</v>
      </c>
      <c r="BM8" s="84"/>
      <c r="BN8" s="83">
        <v>42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96"/>
      <c r="G9" s="97"/>
      <c r="H9" s="96"/>
      <c r="I9" s="97"/>
      <c r="J9" s="96"/>
      <c r="K9" s="97"/>
      <c r="L9" s="96" t="s">
        <v>13</v>
      </c>
      <c r="M9" s="97"/>
      <c r="N9" s="96" t="s">
        <v>14</v>
      </c>
      <c r="O9" s="97"/>
      <c r="P9" s="96" t="s">
        <v>8</v>
      </c>
      <c r="Q9" s="97"/>
      <c r="R9" s="96" t="s">
        <v>9</v>
      </c>
      <c r="S9" s="97"/>
      <c r="T9" s="96" t="s">
        <v>10</v>
      </c>
      <c r="U9" s="97"/>
      <c r="V9" s="96" t="s">
        <v>11</v>
      </c>
      <c r="W9" s="97"/>
      <c r="X9" s="96" t="s">
        <v>12</v>
      </c>
      <c r="Y9" s="97"/>
      <c r="Z9" s="96" t="s">
        <v>13</v>
      </c>
      <c r="AA9" s="97"/>
      <c r="AB9" s="96" t="s">
        <v>14</v>
      </c>
      <c r="AC9" s="97"/>
      <c r="AD9" s="96" t="s">
        <v>8</v>
      </c>
      <c r="AE9" s="97"/>
      <c r="AF9" s="96" t="s">
        <v>9</v>
      </c>
      <c r="AG9" s="97"/>
      <c r="AH9" s="96" t="s">
        <v>10</v>
      </c>
      <c r="AI9" s="97"/>
      <c r="AJ9" s="96" t="s">
        <v>11</v>
      </c>
      <c r="AK9" s="97"/>
      <c r="AL9" s="96" t="s">
        <v>12</v>
      </c>
      <c r="AM9" s="97"/>
      <c r="AN9" s="96" t="s">
        <v>13</v>
      </c>
      <c r="AO9" s="97"/>
      <c r="AP9" s="96" t="s">
        <v>14</v>
      </c>
      <c r="AQ9" s="97"/>
      <c r="AR9" s="96" t="s">
        <v>8</v>
      </c>
      <c r="AS9" s="97"/>
      <c r="AT9" s="96" t="s">
        <v>9</v>
      </c>
      <c r="AU9" s="97"/>
      <c r="AV9" s="96" t="s">
        <v>10</v>
      </c>
      <c r="AW9" s="97"/>
      <c r="AX9" s="96" t="s">
        <v>11</v>
      </c>
      <c r="AY9" s="97"/>
      <c r="AZ9" s="96" t="s">
        <v>12</v>
      </c>
      <c r="BA9" s="97"/>
      <c r="BB9" s="96" t="s">
        <v>13</v>
      </c>
      <c r="BC9" s="97"/>
      <c r="BD9" s="96" t="s">
        <v>14</v>
      </c>
      <c r="BE9" s="97"/>
      <c r="BF9" s="96" t="s">
        <v>8</v>
      </c>
      <c r="BG9" s="97"/>
      <c r="BH9" s="96" t="s">
        <v>9</v>
      </c>
      <c r="BI9" s="97"/>
      <c r="BJ9" s="96" t="s">
        <v>10</v>
      </c>
      <c r="BK9" s="97"/>
      <c r="BL9" s="96" t="s">
        <v>11</v>
      </c>
      <c r="BM9" s="97"/>
      <c r="BN9" s="96" t="s">
        <v>12</v>
      </c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39" t="s">
        <v>20</v>
      </c>
      <c r="O10" s="39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39" t="s">
        <v>20</v>
      </c>
      <c r="AC10" s="39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39" t="s">
        <v>20</v>
      </c>
      <c r="AQ10" s="39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39" t="s">
        <v>20</v>
      </c>
      <c r="BE10" s="39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4" t="s">
        <v>49</v>
      </c>
      <c r="C11" s="16" t="s">
        <v>44</v>
      </c>
      <c r="D11" s="32" t="s">
        <v>46</v>
      </c>
      <c r="E11" s="46">
        <v>750000</v>
      </c>
      <c r="F11" s="29"/>
      <c r="G11" s="29"/>
      <c r="H11" s="29"/>
      <c r="I11" s="29"/>
      <c r="J11" s="29"/>
      <c r="K11" s="29"/>
      <c r="L11" s="29">
        <v>8</v>
      </c>
      <c r="M11" s="29"/>
      <c r="N11" s="41"/>
      <c r="O11" s="41"/>
      <c r="P11" s="29">
        <v>8</v>
      </c>
      <c r="Q11" s="29"/>
      <c r="R11" s="29">
        <v>8</v>
      </c>
      <c r="S11" s="29"/>
      <c r="T11" s="29">
        <v>8</v>
      </c>
      <c r="U11" s="29"/>
      <c r="V11" s="29">
        <v>4</v>
      </c>
      <c r="W11" s="29"/>
      <c r="X11" s="29">
        <v>8</v>
      </c>
      <c r="Y11" s="29"/>
      <c r="Z11" s="29"/>
      <c r="AA11" s="29"/>
      <c r="AB11" s="41"/>
      <c r="AC11" s="41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1"/>
      <c r="AQ11" s="41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1"/>
      <c r="BE11" s="41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44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 t="s">
        <v>72</v>
      </c>
    </row>
    <row r="12" spans="1:73" s="18" customFormat="1" ht="29.55" customHeight="1">
      <c r="A12" s="37" t="s">
        <v>27</v>
      </c>
      <c r="B12" s="54" t="s">
        <v>56</v>
      </c>
      <c r="C12" s="16" t="s">
        <v>55</v>
      </c>
      <c r="D12" s="42" t="s">
        <v>83</v>
      </c>
      <c r="E12" s="46">
        <v>750000</v>
      </c>
      <c r="F12" s="29"/>
      <c r="G12" s="29"/>
      <c r="H12" s="29"/>
      <c r="I12" s="29"/>
      <c r="J12" s="29"/>
      <c r="K12" s="29"/>
      <c r="L12" s="29"/>
      <c r="M12" s="29"/>
      <c r="N12" s="41"/>
      <c r="O12" s="41"/>
      <c r="P12" s="29"/>
      <c r="Q12" s="29"/>
      <c r="R12" s="29">
        <v>8</v>
      </c>
      <c r="S12" s="29"/>
      <c r="T12" s="29">
        <v>8</v>
      </c>
      <c r="U12" s="29"/>
      <c r="V12" s="29">
        <v>8</v>
      </c>
      <c r="W12" s="29"/>
      <c r="X12" s="29">
        <v>8</v>
      </c>
      <c r="Y12" s="29"/>
      <c r="Z12" s="29"/>
      <c r="AA12" s="29"/>
      <c r="AB12" s="41"/>
      <c r="AC12" s="41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1"/>
      <c r="AQ12" s="41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1"/>
      <c r="BE12" s="41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32</v>
      </c>
      <c r="BQ12" s="27">
        <f>SUMIF($F$10:$BO$10,"TCN",F12:BO12)</f>
        <v>0</v>
      </c>
      <c r="BR12" s="27">
        <f>SUMIF($F$10:$BO$10,"NN",F12:BO12)</f>
        <v>0</v>
      </c>
      <c r="BS12" s="27">
        <f>SUMIF($F$10:$BO$10,"TCNN",F12:BO12)</f>
        <v>0</v>
      </c>
      <c r="BT12" s="28"/>
      <c r="BU12" s="17" t="s">
        <v>72</v>
      </c>
    </row>
    <row r="13" spans="1:73" s="18" customFormat="1" ht="29.55" customHeight="1">
      <c r="A13" s="37" t="s">
        <v>28</v>
      </c>
      <c r="B13" s="54" t="s">
        <v>99</v>
      </c>
      <c r="C13" s="55" t="s">
        <v>100</v>
      </c>
      <c r="D13" s="42" t="s">
        <v>83</v>
      </c>
      <c r="E13" s="46">
        <v>750000</v>
      </c>
      <c r="F13" s="29"/>
      <c r="G13" s="29"/>
      <c r="H13" s="29"/>
      <c r="I13" s="29"/>
      <c r="J13" s="29"/>
      <c r="K13" s="29"/>
      <c r="L13" s="29">
        <v>8</v>
      </c>
      <c r="M13" s="29"/>
      <c r="N13" s="41"/>
      <c r="O13" s="41"/>
      <c r="P13" s="29">
        <v>8</v>
      </c>
      <c r="Q13" s="29"/>
      <c r="R13" s="29">
        <v>8</v>
      </c>
      <c r="S13" s="29"/>
      <c r="T13" s="29">
        <v>8</v>
      </c>
      <c r="U13" s="29"/>
      <c r="V13" s="29">
        <v>8</v>
      </c>
      <c r="W13" s="29"/>
      <c r="X13" s="29">
        <v>8</v>
      </c>
      <c r="Y13" s="29"/>
      <c r="Z13" s="29"/>
      <c r="AA13" s="29"/>
      <c r="AB13" s="41"/>
      <c r="AC13" s="41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1"/>
      <c r="AQ13" s="41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1"/>
      <c r="BE13" s="41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14" si="2">SUMIF($F$10:$BO$10,"HC",F13:BO13)</f>
        <v>48</v>
      </c>
      <c r="BQ13" s="27">
        <f>SUMIF($F$10:$BO$10,"TCN",F13:BO13)</f>
        <v>0</v>
      </c>
      <c r="BR13" s="27">
        <f>SUMIF($F$10:$BO$10,"NN",F13:BO13)</f>
        <v>0</v>
      </c>
      <c r="BS13" s="27">
        <f>SUMIF($F$10:$BO$10,"TCNN",F13:BO13)</f>
        <v>0</v>
      </c>
      <c r="BT13" s="28"/>
      <c r="BU13" s="17" t="s">
        <v>72</v>
      </c>
    </row>
    <row r="14" spans="1:73" s="18" customFormat="1" ht="29.55" customHeight="1">
      <c r="A14" s="37" t="s">
        <v>29</v>
      </c>
      <c r="B14" s="54" t="s">
        <v>101</v>
      </c>
      <c r="C14" s="55" t="s">
        <v>102</v>
      </c>
      <c r="D14" s="42" t="s">
        <v>83</v>
      </c>
      <c r="E14" s="46">
        <v>750000</v>
      </c>
      <c r="F14" s="29"/>
      <c r="G14" s="29"/>
      <c r="H14" s="29"/>
      <c r="I14" s="29"/>
      <c r="J14" s="29"/>
      <c r="K14" s="29"/>
      <c r="L14" s="29">
        <v>8</v>
      </c>
      <c r="M14" s="29"/>
      <c r="N14" s="41"/>
      <c r="O14" s="41"/>
      <c r="P14" s="29">
        <v>8</v>
      </c>
      <c r="Q14" s="29"/>
      <c r="R14" s="29">
        <v>8</v>
      </c>
      <c r="S14" s="29"/>
      <c r="T14" s="29">
        <v>8</v>
      </c>
      <c r="U14" s="29"/>
      <c r="V14" s="29">
        <v>8</v>
      </c>
      <c r="W14" s="29"/>
      <c r="X14" s="29">
        <v>8</v>
      </c>
      <c r="Y14" s="29"/>
      <c r="Z14" s="29"/>
      <c r="AA14" s="29"/>
      <c r="AB14" s="41"/>
      <c r="AC14" s="41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1"/>
      <c r="AQ14" s="41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1"/>
      <c r="BE14" s="41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48</v>
      </c>
      <c r="BQ14" s="27">
        <f t="shared" ref="BQ14:BQ25" si="3">SUMIF($F$10:$BO$10,"TCN",F14:BO14)</f>
        <v>0</v>
      </c>
      <c r="BR14" s="27">
        <f t="shared" si="0"/>
        <v>0</v>
      </c>
      <c r="BS14" s="27">
        <f t="shared" si="1"/>
        <v>0</v>
      </c>
      <c r="BT14" s="28"/>
      <c r="BU14" s="17" t="s">
        <v>72</v>
      </c>
    </row>
    <row r="15" spans="1:73" s="18" customFormat="1" ht="29.55" customHeight="1">
      <c r="A15" s="37" t="s">
        <v>30</v>
      </c>
      <c r="B15" s="54" t="s">
        <v>103</v>
      </c>
      <c r="C15" s="55" t="s">
        <v>104</v>
      </c>
      <c r="D15" s="42" t="s">
        <v>105</v>
      </c>
      <c r="E15" s="46">
        <v>750000</v>
      </c>
      <c r="F15" s="29"/>
      <c r="G15" s="29"/>
      <c r="H15" s="29"/>
      <c r="I15" s="29"/>
      <c r="J15" s="29"/>
      <c r="K15" s="29"/>
      <c r="L15" s="29">
        <v>4</v>
      </c>
      <c r="M15" s="29"/>
      <c r="N15" s="41"/>
      <c r="O15" s="41"/>
      <c r="P15" s="29">
        <v>8</v>
      </c>
      <c r="Q15" s="29"/>
      <c r="R15" s="29">
        <v>4</v>
      </c>
      <c r="S15" s="29"/>
      <c r="T15" s="29">
        <v>8</v>
      </c>
      <c r="U15" s="29"/>
      <c r="V15" s="29">
        <v>8</v>
      </c>
      <c r="W15" s="29"/>
      <c r="X15" s="29">
        <v>8</v>
      </c>
      <c r="Y15" s="29"/>
      <c r="Z15" s="29"/>
      <c r="AA15" s="29"/>
      <c r="AB15" s="41"/>
      <c r="AC15" s="41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1"/>
      <c r="AQ15" s="41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1"/>
      <c r="BE15" s="41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ref="BP15:BP25" si="4">SUMIF($F$10:$BO$10,"HC",F15:BO15)</f>
        <v>40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 t="s">
        <v>72</v>
      </c>
    </row>
    <row r="16" spans="1:73" s="18" customFormat="1" ht="29.55" customHeight="1">
      <c r="A16" s="37" t="s">
        <v>31</v>
      </c>
      <c r="B16" s="54" t="s">
        <v>106</v>
      </c>
      <c r="C16" s="55" t="s">
        <v>107</v>
      </c>
      <c r="D16" s="42" t="s">
        <v>83</v>
      </c>
      <c r="E16" s="46">
        <v>750000</v>
      </c>
      <c r="F16" s="29"/>
      <c r="G16" s="29"/>
      <c r="H16" s="29"/>
      <c r="I16" s="29"/>
      <c r="J16" s="29"/>
      <c r="K16" s="29"/>
      <c r="L16" s="29">
        <v>8</v>
      </c>
      <c r="M16" s="29"/>
      <c r="N16" s="41"/>
      <c r="O16" s="41"/>
      <c r="P16" s="29">
        <v>8</v>
      </c>
      <c r="Q16" s="29"/>
      <c r="R16" s="29">
        <v>8</v>
      </c>
      <c r="S16" s="29"/>
      <c r="T16" s="29">
        <v>8</v>
      </c>
      <c r="U16" s="29"/>
      <c r="V16" s="29">
        <v>8</v>
      </c>
      <c r="W16" s="29"/>
      <c r="X16" s="29">
        <v>8</v>
      </c>
      <c r="Y16" s="29"/>
      <c r="Z16" s="29"/>
      <c r="AA16" s="29"/>
      <c r="AB16" s="41"/>
      <c r="AC16" s="41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1"/>
      <c r="AQ16" s="41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1"/>
      <c r="BE16" s="41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4"/>
        <v>48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 t="s">
        <v>72</v>
      </c>
    </row>
    <row r="17" spans="1:73" s="18" customFormat="1" ht="29.55" customHeight="1">
      <c r="A17" s="37" t="s">
        <v>32</v>
      </c>
      <c r="B17" s="54" t="s">
        <v>142</v>
      </c>
      <c r="C17" s="79" t="s">
        <v>143</v>
      </c>
      <c r="D17" s="42" t="s">
        <v>83</v>
      </c>
      <c r="E17" s="46">
        <v>750000</v>
      </c>
      <c r="F17" s="29"/>
      <c r="G17" s="29"/>
      <c r="H17" s="29"/>
      <c r="I17" s="29"/>
      <c r="J17" s="29"/>
      <c r="K17" s="29"/>
      <c r="L17" s="29"/>
      <c r="M17" s="29"/>
      <c r="N17" s="41"/>
      <c r="O17" s="41"/>
      <c r="P17" s="29">
        <v>8</v>
      </c>
      <c r="Q17" s="29"/>
      <c r="R17" s="29">
        <v>8</v>
      </c>
      <c r="S17" s="29"/>
      <c r="T17" s="29">
        <v>8</v>
      </c>
      <c r="U17" s="29"/>
      <c r="V17" s="29">
        <v>8</v>
      </c>
      <c r="W17" s="29"/>
      <c r="X17" s="29">
        <v>8</v>
      </c>
      <c r="Y17" s="29"/>
      <c r="Z17" s="29"/>
      <c r="AA17" s="29"/>
      <c r="AB17" s="41"/>
      <c r="AC17" s="41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1"/>
      <c r="AQ17" s="41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1"/>
      <c r="BE17" s="41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4"/>
        <v>40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 t="s">
        <v>72</v>
      </c>
    </row>
    <row r="18" spans="1:73" s="18" customFormat="1" ht="29.4" customHeight="1">
      <c r="A18" s="37" t="s">
        <v>35</v>
      </c>
      <c r="B18" s="15"/>
      <c r="C18" s="16"/>
      <c r="D18" s="42"/>
      <c r="E18" s="46"/>
      <c r="F18" s="29"/>
      <c r="G18" s="29"/>
      <c r="H18" s="29"/>
      <c r="I18" s="29"/>
      <c r="J18" s="29"/>
      <c r="K18" s="29"/>
      <c r="L18" s="29"/>
      <c r="M18" s="29"/>
      <c r="N18" s="41"/>
      <c r="O18" s="41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1"/>
      <c r="AC18" s="41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1"/>
      <c r="AQ18" s="41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1"/>
      <c r="BE18" s="41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4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37" t="s">
        <v>36</v>
      </c>
      <c r="B19" s="15"/>
      <c r="C19" s="16"/>
      <c r="D19" s="42"/>
      <c r="E19" s="46"/>
      <c r="F19" s="29"/>
      <c r="G19" s="29"/>
      <c r="H19" s="29"/>
      <c r="I19" s="29"/>
      <c r="J19" s="29"/>
      <c r="K19" s="29"/>
      <c r="L19" s="29"/>
      <c r="M19" s="29"/>
      <c r="N19" s="41"/>
      <c r="O19" s="41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1"/>
      <c r="AC19" s="41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1"/>
      <c r="AQ19" s="41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1"/>
      <c r="BE19" s="41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4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37" t="s">
        <v>37</v>
      </c>
      <c r="B20" s="15"/>
      <c r="C20" s="16"/>
      <c r="D20" s="42"/>
      <c r="E20" s="46"/>
      <c r="F20" s="29"/>
      <c r="G20" s="29"/>
      <c r="H20" s="29"/>
      <c r="I20" s="29"/>
      <c r="J20" s="29"/>
      <c r="K20" s="29"/>
      <c r="L20" s="29"/>
      <c r="M20" s="29"/>
      <c r="N20" s="41"/>
      <c r="O20" s="4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1"/>
      <c r="AC20" s="4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1"/>
      <c r="AQ20" s="41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1"/>
      <c r="BE20" s="41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4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37" t="s">
        <v>38</v>
      </c>
      <c r="B21" s="15"/>
      <c r="C21" s="16"/>
      <c r="D21" s="42"/>
      <c r="E21" s="46"/>
      <c r="F21" s="29"/>
      <c r="G21" s="29"/>
      <c r="H21" s="29"/>
      <c r="I21" s="29"/>
      <c r="J21" s="29"/>
      <c r="K21" s="29"/>
      <c r="L21" s="29"/>
      <c r="M21" s="29"/>
      <c r="N21" s="41"/>
      <c r="O21" s="4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1"/>
      <c r="AC21" s="41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1"/>
      <c r="AQ21" s="41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1"/>
      <c r="BE21" s="41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4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37" t="s">
        <v>39</v>
      </c>
      <c r="B22" s="15"/>
      <c r="C22" s="16"/>
      <c r="D22" s="42"/>
      <c r="E22" s="46"/>
      <c r="F22" s="29"/>
      <c r="G22" s="29"/>
      <c r="H22" s="29"/>
      <c r="I22" s="29"/>
      <c r="J22" s="29"/>
      <c r="K22" s="29"/>
      <c r="L22" s="29"/>
      <c r="M22" s="29"/>
      <c r="N22" s="41"/>
      <c r="O22" s="4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1"/>
      <c r="AC22" s="41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1"/>
      <c r="AQ22" s="41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1"/>
      <c r="BE22" s="41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4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37" t="s">
        <v>40</v>
      </c>
      <c r="B23" s="15"/>
      <c r="C23" s="16"/>
      <c r="D23" s="42"/>
      <c r="E23" s="46"/>
      <c r="F23" s="29"/>
      <c r="G23" s="29"/>
      <c r="H23" s="29"/>
      <c r="I23" s="29"/>
      <c r="J23" s="29"/>
      <c r="K23" s="29"/>
      <c r="L23" s="29"/>
      <c r="M23" s="29"/>
      <c r="N23" s="41"/>
      <c r="O23" s="4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1"/>
      <c r="AC23" s="41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1"/>
      <c r="AQ23" s="41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1"/>
      <c r="BE23" s="41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4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37" t="s">
        <v>41</v>
      </c>
      <c r="B24" s="15"/>
      <c r="C24" s="16"/>
      <c r="D24" s="42"/>
      <c r="E24" s="46"/>
      <c r="F24" s="29"/>
      <c r="G24" s="29"/>
      <c r="H24" s="29"/>
      <c r="I24" s="29"/>
      <c r="J24" s="29"/>
      <c r="K24" s="29"/>
      <c r="L24" s="29"/>
      <c r="M24" s="29"/>
      <c r="N24" s="41"/>
      <c r="O24" s="41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1"/>
      <c r="AC24" s="41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1"/>
      <c r="AQ24" s="41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1"/>
      <c r="BE24" s="41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4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0"/>
      <c r="B25" s="30"/>
      <c r="C25" s="31"/>
      <c r="D25" s="31"/>
      <c r="E25" s="46"/>
      <c r="F25" s="29"/>
      <c r="G25" s="29"/>
      <c r="H25" s="29"/>
      <c r="I25" s="29"/>
      <c r="J25" s="29"/>
      <c r="K25" s="29"/>
      <c r="L25" s="29"/>
      <c r="M25" s="29"/>
      <c r="N25" s="41"/>
      <c r="O25" s="41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1"/>
      <c r="AC25" s="41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1"/>
      <c r="AQ25" s="41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1"/>
      <c r="BE25" s="41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4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110" t="s">
        <v>4</v>
      </c>
      <c r="B26" s="111"/>
      <c r="C26" s="111"/>
      <c r="D26" s="111"/>
      <c r="E26" s="11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300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38"/>
      <c r="B27" s="22"/>
      <c r="C27" s="22"/>
      <c r="D27" s="22"/>
      <c r="E27" s="4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44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48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49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49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49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0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AP9:AQ9"/>
    <mergeCell ref="D8:D10"/>
    <mergeCell ref="T8:U8"/>
    <mergeCell ref="V8:W8"/>
    <mergeCell ref="X8:Y8"/>
    <mergeCell ref="Z8:AA8"/>
    <mergeCell ref="T9:U9"/>
    <mergeCell ref="V9:W9"/>
    <mergeCell ref="X9:Y9"/>
    <mergeCell ref="Z9:AA9"/>
    <mergeCell ref="J8:K8"/>
    <mergeCell ref="L9:M9"/>
    <mergeCell ref="N9:O9"/>
    <mergeCell ref="P9:Q9"/>
    <mergeCell ref="R9:S9"/>
    <mergeCell ref="L8:M8"/>
    <mergeCell ref="AD9:AE9"/>
    <mergeCell ref="AB9:AC9"/>
    <mergeCell ref="A26:E26"/>
    <mergeCell ref="BT8:BT10"/>
    <mergeCell ref="BP8:BS9"/>
    <mergeCell ref="AZ9:BA9"/>
    <mergeCell ref="BB9:BC9"/>
    <mergeCell ref="BD9:BE9"/>
    <mergeCell ref="BF9:BG9"/>
    <mergeCell ref="BH9:BI9"/>
    <mergeCell ref="BJ9:BK9"/>
    <mergeCell ref="BL9:BM9"/>
    <mergeCell ref="BN9:BO9"/>
    <mergeCell ref="BD8:BE8"/>
    <mergeCell ref="BF8:BG8"/>
    <mergeCell ref="AR9:AS9"/>
    <mergeCell ref="AF9:AG9"/>
    <mergeCell ref="AH9:AI9"/>
    <mergeCell ref="A4:BC4"/>
    <mergeCell ref="A8:A10"/>
    <mergeCell ref="B8:B10"/>
    <mergeCell ref="C8:C10"/>
    <mergeCell ref="E8:E10"/>
    <mergeCell ref="A5:BU5"/>
    <mergeCell ref="BU8:BU10"/>
    <mergeCell ref="H9:I9"/>
    <mergeCell ref="J9:K9"/>
    <mergeCell ref="F9:G9"/>
    <mergeCell ref="BH8:BI8"/>
    <mergeCell ref="BJ8:BK8"/>
    <mergeCell ref="P8:Q8"/>
    <mergeCell ref="AB8:AC8"/>
    <mergeCell ref="BB8:BC8"/>
    <mergeCell ref="AJ9:AK9"/>
    <mergeCell ref="BL8:BM8"/>
    <mergeCell ref="BN8:BO8"/>
    <mergeCell ref="AX9:AY9"/>
    <mergeCell ref="AT9:AU9"/>
    <mergeCell ref="AV9:AW9"/>
    <mergeCell ref="AJ8:AK8"/>
    <mergeCell ref="AL8:AM8"/>
    <mergeCell ref="AR8:AS8"/>
    <mergeCell ref="AT8:AU8"/>
    <mergeCell ref="AV8:AW8"/>
    <mergeCell ref="AN8:AO8"/>
    <mergeCell ref="AP8:AQ8"/>
    <mergeCell ref="AL9:AM9"/>
    <mergeCell ref="AN9:AO9"/>
    <mergeCell ref="F8:G8"/>
    <mergeCell ref="H8:I8"/>
    <mergeCell ref="AX8:AY8"/>
    <mergeCell ref="AZ8:BA8"/>
    <mergeCell ref="R8:S8"/>
    <mergeCell ref="AD8:AE8"/>
    <mergeCell ref="AF8:AG8"/>
    <mergeCell ref="AH8:AI8"/>
    <mergeCell ref="N8:O8"/>
  </mergeCells>
  <phoneticPr fontId="21" type="noConversion"/>
  <conditionalFormatting sqref="B1:B10 B18:B1048576">
    <cfRule type="duplicateValues" dxfId="23" priority="6"/>
  </conditionalFormatting>
  <conditionalFormatting sqref="B11">
    <cfRule type="duplicateValues" dxfId="22" priority="2"/>
  </conditionalFormatting>
  <conditionalFormatting sqref="F8:F9 H8:H9 J8:J9 Z8:Z9 AB8:AB9 AD8:AD9 AF8:AF9 AH8:AH9 AJ8:AJ9 AL8:AL9 AN8:AN9 AP8:AP9 AR8:AR9 AT8:AT9 AV8:AV9 AX8:AX9 AZ8:AZ9 BB8:BB9 BD8:BD9 BF8:BF9 BH8:BH9 BJ8:BJ9 BL8:BL9 BN8:BN9">
    <cfRule type="expression" dxfId="19" priority="9">
      <formula>IF(OR(H$10="CN",H$10="OT CN"),1,0)</formula>
    </cfRule>
  </conditionalFormatting>
  <conditionalFormatting sqref="F11:BO27">
    <cfRule type="expression" dxfId="18" priority="3">
      <formula>IF(OR(F$10="CN",F$10="OT CN"),1,0)</formula>
    </cfRule>
  </conditionalFormatting>
  <conditionalFormatting sqref="L8:L9 N8:N9 P8:P9 R8:R9 T8:T9 V8:V9 X8:X9">
    <cfRule type="expression" dxfId="17" priority="1">
      <formula>IF(OR(N$10="CN",N$10="OT CN"),1,0)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08A80575-94E3-4A3A-A4F5-B5C0C115A1E8}">
            <xm:f>NOT(ISERROR(SEARCH(#REF!,B18)))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B18:D25</xm:sqref>
        </x14:conditionalFormatting>
        <x14:conditionalFormatting xmlns:xm="http://schemas.microsoft.com/office/excel/2006/main">
          <x14:cfRule type="containsText" priority="4" operator="containsText" id="{4254EBD5-C4A2-46F5-8828-051B8535425D}">
            <xm:f>NOT(ISERROR(SEARCH(#REF!,C11)))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 C12:D12 D13:D17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6288-A27D-4C13-9408-D644E1306BBA}">
  <dimension ref="A1:BU33"/>
  <sheetViews>
    <sheetView zoomScale="70" zoomScaleNormal="70" workbookViewId="0">
      <pane xSplit="20" ySplit="14" topLeftCell="U15" activePane="bottomRight" state="frozen"/>
      <selection pane="topRight" activeCell="U1" sqref="U1"/>
      <selection pane="bottomLeft" activeCell="A15" sqref="A15"/>
      <selection pane="bottomRight" activeCell="X19" sqref="X19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9.109375" style="1" customWidth="1"/>
    <col min="4" max="4" width="20" style="1" customWidth="1"/>
    <col min="5" max="5" width="12.21875" style="51" customWidth="1"/>
    <col min="6" max="11" width="6.44140625" style="1" hidden="1" customWidth="1"/>
    <col min="12" max="25" width="6.44140625" style="1" customWidth="1"/>
    <col min="26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/>
      <c r="G8" s="84"/>
      <c r="H8" s="83"/>
      <c r="I8" s="84"/>
      <c r="J8" s="83"/>
      <c r="K8" s="84"/>
      <c r="L8" s="83">
        <v>22</v>
      </c>
      <c r="M8" s="84"/>
      <c r="N8" s="83">
        <v>23</v>
      </c>
      <c r="O8" s="84"/>
      <c r="P8" s="83">
        <v>24</v>
      </c>
      <c r="Q8" s="84"/>
      <c r="R8" s="83">
        <v>25</v>
      </c>
      <c r="S8" s="84"/>
      <c r="T8" s="83">
        <v>26</v>
      </c>
      <c r="U8" s="84"/>
      <c r="V8" s="83">
        <v>27</v>
      </c>
      <c r="W8" s="84"/>
      <c r="X8" s="83">
        <v>28</v>
      </c>
      <c r="Y8" s="84"/>
      <c r="Z8" s="83">
        <v>8</v>
      </c>
      <c r="AA8" s="84"/>
      <c r="AB8" s="83">
        <v>9</v>
      </c>
      <c r="AC8" s="84"/>
      <c r="AD8" s="83">
        <v>10</v>
      </c>
      <c r="AE8" s="84"/>
      <c r="AF8" s="83">
        <v>11</v>
      </c>
      <c r="AG8" s="84"/>
      <c r="AH8" s="83">
        <v>12</v>
      </c>
      <c r="AI8" s="84"/>
      <c r="AJ8" s="83">
        <v>13</v>
      </c>
      <c r="AK8" s="84"/>
      <c r="AL8" s="83">
        <v>14</v>
      </c>
      <c r="AM8" s="84"/>
      <c r="AN8" s="83">
        <v>15</v>
      </c>
      <c r="AO8" s="84"/>
      <c r="AP8" s="83">
        <v>16</v>
      </c>
      <c r="AQ8" s="84"/>
      <c r="AR8" s="83">
        <v>17</v>
      </c>
      <c r="AS8" s="84"/>
      <c r="AT8" s="83">
        <v>18</v>
      </c>
      <c r="AU8" s="84"/>
      <c r="AV8" s="83">
        <v>19</v>
      </c>
      <c r="AW8" s="84"/>
      <c r="AX8" s="83">
        <v>20</v>
      </c>
      <c r="AY8" s="84"/>
      <c r="AZ8" s="83">
        <v>21</v>
      </c>
      <c r="BA8" s="84"/>
      <c r="BB8" s="83">
        <v>22</v>
      </c>
      <c r="BC8" s="84"/>
      <c r="BD8" s="83">
        <v>23</v>
      </c>
      <c r="BE8" s="84"/>
      <c r="BF8" s="83">
        <v>24</v>
      </c>
      <c r="BG8" s="84"/>
      <c r="BH8" s="83">
        <v>25</v>
      </c>
      <c r="BI8" s="84"/>
      <c r="BJ8" s="83">
        <v>26</v>
      </c>
      <c r="BK8" s="84"/>
      <c r="BL8" s="83">
        <v>27</v>
      </c>
      <c r="BM8" s="84"/>
      <c r="BN8" s="83">
        <v>28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96"/>
      <c r="G9" s="97"/>
      <c r="H9" s="96"/>
      <c r="I9" s="97"/>
      <c r="J9" s="96"/>
      <c r="K9" s="97"/>
      <c r="L9" s="96" t="s">
        <v>13</v>
      </c>
      <c r="M9" s="97"/>
      <c r="N9" s="96" t="s">
        <v>14</v>
      </c>
      <c r="O9" s="97"/>
      <c r="P9" s="96" t="s">
        <v>8</v>
      </c>
      <c r="Q9" s="97"/>
      <c r="R9" s="96" t="s">
        <v>9</v>
      </c>
      <c r="S9" s="97"/>
      <c r="T9" s="96" t="s">
        <v>10</v>
      </c>
      <c r="U9" s="97"/>
      <c r="V9" s="96" t="s">
        <v>11</v>
      </c>
      <c r="W9" s="97"/>
      <c r="X9" s="96" t="s">
        <v>12</v>
      </c>
      <c r="Y9" s="97"/>
      <c r="Z9" s="96" t="s">
        <v>13</v>
      </c>
      <c r="AA9" s="97"/>
      <c r="AB9" s="96" t="s">
        <v>14</v>
      </c>
      <c r="AC9" s="97"/>
      <c r="AD9" s="96" t="s">
        <v>8</v>
      </c>
      <c r="AE9" s="97"/>
      <c r="AF9" s="96" t="s">
        <v>9</v>
      </c>
      <c r="AG9" s="97"/>
      <c r="AH9" s="96" t="s">
        <v>10</v>
      </c>
      <c r="AI9" s="97"/>
      <c r="AJ9" s="96" t="s">
        <v>11</v>
      </c>
      <c r="AK9" s="97"/>
      <c r="AL9" s="96" t="s">
        <v>12</v>
      </c>
      <c r="AM9" s="97"/>
      <c r="AN9" s="96" t="s">
        <v>13</v>
      </c>
      <c r="AO9" s="97"/>
      <c r="AP9" s="96" t="s">
        <v>14</v>
      </c>
      <c r="AQ9" s="97"/>
      <c r="AR9" s="96" t="s">
        <v>8</v>
      </c>
      <c r="AS9" s="97"/>
      <c r="AT9" s="96" t="s">
        <v>9</v>
      </c>
      <c r="AU9" s="97"/>
      <c r="AV9" s="96" t="s">
        <v>10</v>
      </c>
      <c r="AW9" s="97"/>
      <c r="AX9" s="96" t="s">
        <v>11</v>
      </c>
      <c r="AY9" s="97"/>
      <c r="AZ9" s="96" t="s">
        <v>12</v>
      </c>
      <c r="BA9" s="97"/>
      <c r="BB9" s="96" t="s">
        <v>13</v>
      </c>
      <c r="BC9" s="97"/>
      <c r="BD9" s="96" t="s">
        <v>14</v>
      </c>
      <c r="BE9" s="97"/>
      <c r="BF9" s="96" t="s">
        <v>8</v>
      </c>
      <c r="BG9" s="97"/>
      <c r="BH9" s="96" t="s">
        <v>9</v>
      </c>
      <c r="BI9" s="97"/>
      <c r="BJ9" s="96" t="s">
        <v>10</v>
      </c>
      <c r="BK9" s="97"/>
      <c r="BL9" s="96" t="s">
        <v>11</v>
      </c>
      <c r="BM9" s="97"/>
      <c r="BN9" s="96" t="s">
        <v>12</v>
      </c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39" t="s">
        <v>20</v>
      </c>
      <c r="O10" s="39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39" t="s">
        <v>20</v>
      </c>
      <c r="AC10" s="39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39" t="s">
        <v>20</v>
      </c>
      <c r="AQ10" s="39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39" t="s">
        <v>20</v>
      </c>
      <c r="BE10" s="39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4" t="s">
        <v>59</v>
      </c>
      <c r="C11" s="16" t="s">
        <v>53</v>
      </c>
      <c r="D11" s="32" t="s">
        <v>54</v>
      </c>
      <c r="E11" s="46">
        <v>800000</v>
      </c>
      <c r="F11" s="29"/>
      <c r="G11" s="29"/>
      <c r="H11" s="29"/>
      <c r="I11" s="29"/>
      <c r="J11" s="29"/>
      <c r="K11" s="29"/>
      <c r="L11" s="29">
        <v>8</v>
      </c>
      <c r="M11" s="29"/>
      <c r="N11" s="41"/>
      <c r="O11" s="41"/>
      <c r="P11" s="29">
        <v>8</v>
      </c>
      <c r="Q11" s="29"/>
      <c r="R11" s="29">
        <v>8</v>
      </c>
      <c r="S11" s="29"/>
      <c r="T11" s="29">
        <v>8</v>
      </c>
      <c r="U11" s="29"/>
      <c r="V11" s="29">
        <v>8</v>
      </c>
      <c r="W11" s="29"/>
      <c r="X11" s="29">
        <v>8</v>
      </c>
      <c r="Y11" s="29"/>
      <c r="Z11" s="29"/>
      <c r="AA11" s="29"/>
      <c r="AB11" s="41"/>
      <c r="AC11" s="41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1"/>
      <c r="AQ11" s="41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1"/>
      <c r="BE11" s="41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48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 t="s">
        <v>72</v>
      </c>
    </row>
    <row r="12" spans="1:73" s="18" customFormat="1" ht="29.55" customHeight="1">
      <c r="A12" s="37" t="s">
        <v>27</v>
      </c>
      <c r="B12" s="54" t="s">
        <v>68</v>
      </c>
      <c r="C12" s="16" t="s">
        <v>69</v>
      </c>
      <c r="D12" s="42" t="s">
        <v>54</v>
      </c>
      <c r="E12" s="46">
        <v>800000</v>
      </c>
      <c r="F12" s="29"/>
      <c r="G12" s="29"/>
      <c r="H12" s="29"/>
      <c r="I12" s="29"/>
      <c r="J12" s="29"/>
      <c r="K12" s="29"/>
      <c r="L12" s="29">
        <v>8</v>
      </c>
      <c r="M12" s="29"/>
      <c r="N12" s="41"/>
      <c r="O12" s="41"/>
      <c r="P12" s="29">
        <v>4</v>
      </c>
      <c r="Q12" s="29"/>
      <c r="R12" s="29">
        <v>0</v>
      </c>
      <c r="S12" s="29"/>
      <c r="T12" s="29">
        <v>8</v>
      </c>
      <c r="U12" s="29"/>
      <c r="V12" s="29">
        <v>8</v>
      </c>
      <c r="W12" s="29"/>
      <c r="X12" s="29">
        <v>8</v>
      </c>
      <c r="Y12" s="29"/>
      <c r="Z12" s="29"/>
      <c r="AA12" s="29"/>
      <c r="AB12" s="41"/>
      <c r="AC12" s="41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1"/>
      <c r="AQ12" s="41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1"/>
      <c r="BE12" s="41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36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 t="s">
        <v>72</v>
      </c>
    </row>
    <row r="13" spans="1:73" s="18" customFormat="1" ht="29.55" customHeight="1">
      <c r="A13" s="37" t="s">
        <v>28</v>
      </c>
      <c r="B13" s="54" t="s">
        <v>108</v>
      </c>
      <c r="C13" s="55" t="s">
        <v>109</v>
      </c>
      <c r="D13" s="42" t="s">
        <v>83</v>
      </c>
      <c r="E13" s="46">
        <v>800000</v>
      </c>
      <c r="F13" s="29"/>
      <c r="G13" s="29"/>
      <c r="H13" s="29"/>
      <c r="I13" s="29"/>
      <c r="J13" s="29"/>
      <c r="K13" s="29"/>
      <c r="L13" s="29">
        <v>8</v>
      </c>
      <c r="M13" s="29"/>
      <c r="N13" s="41"/>
      <c r="O13" s="41"/>
      <c r="P13" s="29">
        <v>8</v>
      </c>
      <c r="Q13" s="29"/>
      <c r="R13" s="29">
        <v>8</v>
      </c>
      <c r="S13" s="29"/>
      <c r="T13" s="29">
        <v>8</v>
      </c>
      <c r="U13" s="29"/>
      <c r="V13" s="29">
        <v>8</v>
      </c>
      <c r="W13" s="29"/>
      <c r="X13" s="29">
        <v>8</v>
      </c>
      <c r="Y13" s="29"/>
      <c r="Z13" s="29"/>
      <c r="AA13" s="29"/>
      <c r="AB13" s="41"/>
      <c r="AC13" s="41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1"/>
      <c r="AQ13" s="41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1"/>
      <c r="BE13" s="41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48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 t="s">
        <v>72</v>
      </c>
    </row>
    <row r="14" spans="1:73" s="18" customFormat="1" ht="29.55" customHeight="1">
      <c r="A14" s="37" t="s">
        <v>29</v>
      </c>
      <c r="B14" s="54" t="s">
        <v>110</v>
      </c>
      <c r="C14" s="55" t="s">
        <v>111</v>
      </c>
      <c r="D14" s="42" t="s">
        <v>83</v>
      </c>
      <c r="E14" s="46">
        <v>800000</v>
      </c>
      <c r="F14" s="29"/>
      <c r="G14" s="29"/>
      <c r="H14" s="29"/>
      <c r="I14" s="29"/>
      <c r="J14" s="29"/>
      <c r="K14" s="29"/>
      <c r="L14" s="29">
        <v>8</v>
      </c>
      <c r="M14" s="29"/>
      <c r="N14" s="41"/>
      <c r="O14" s="41"/>
      <c r="P14" s="29">
        <v>8</v>
      </c>
      <c r="Q14" s="29"/>
      <c r="R14" s="29">
        <v>8</v>
      </c>
      <c r="S14" s="29"/>
      <c r="T14" s="29">
        <v>8</v>
      </c>
      <c r="U14" s="29"/>
      <c r="V14" s="29">
        <v>8</v>
      </c>
      <c r="W14" s="29"/>
      <c r="X14" s="29">
        <v>8</v>
      </c>
      <c r="Y14" s="29"/>
      <c r="Z14" s="29"/>
      <c r="AA14" s="29"/>
      <c r="AB14" s="41"/>
      <c r="AC14" s="41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1"/>
      <c r="AQ14" s="41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1"/>
      <c r="BE14" s="41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48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 t="s">
        <v>72</v>
      </c>
    </row>
    <row r="15" spans="1:73" s="18" customFormat="1" ht="29.55" customHeight="1">
      <c r="A15" s="37" t="s">
        <v>30</v>
      </c>
      <c r="B15" s="80" t="s">
        <v>144</v>
      </c>
      <c r="C15" s="55" t="s">
        <v>145</v>
      </c>
      <c r="D15" s="42" t="s">
        <v>83</v>
      </c>
      <c r="E15" s="46">
        <v>800000</v>
      </c>
      <c r="F15" s="29"/>
      <c r="G15" s="29"/>
      <c r="H15" s="29"/>
      <c r="I15" s="29"/>
      <c r="J15" s="29"/>
      <c r="K15" s="29"/>
      <c r="L15" s="29"/>
      <c r="M15" s="29"/>
      <c r="N15" s="41"/>
      <c r="O15" s="41"/>
      <c r="P15" s="29">
        <v>4</v>
      </c>
      <c r="Q15" s="29"/>
      <c r="R15" s="29">
        <v>4</v>
      </c>
      <c r="S15" s="29"/>
      <c r="T15" s="29">
        <v>8</v>
      </c>
      <c r="U15" s="29"/>
      <c r="V15" s="56">
        <v>8</v>
      </c>
      <c r="W15" s="29"/>
      <c r="X15" s="29">
        <v>8</v>
      </c>
      <c r="Y15" s="29"/>
      <c r="Z15" s="29"/>
      <c r="AA15" s="29"/>
      <c r="AB15" s="41"/>
      <c r="AC15" s="41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1"/>
      <c r="AQ15" s="41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1"/>
      <c r="BE15" s="41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32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 t="s">
        <v>72</v>
      </c>
    </row>
    <row r="16" spans="1:73" s="18" customFormat="1" ht="29.55" customHeight="1">
      <c r="A16" s="37" t="s">
        <v>31</v>
      </c>
      <c r="B16" s="80" t="s">
        <v>146</v>
      </c>
      <c r="C16" s="55" t="s">
        <v>147</v>
      </c>
      <c r="D16" s="42" t="s">
        <v>83</v>
      </c>
      <c r="E16" s="46">
        <v>800000</v>
      </c>
      <c r="F16" s="29"/>
      <c r="G16" s="29"/>
      <c r="H16" s="29"/>
      <c r="I16" s="29"/>
      <c r="J16" s="29"/>
      <c r="K16" s="29"/>
      <c r="L16" s="29"/>
      <c r="M16" s="29"/>
      <c r="N16" s="41"/>
      <c r="O16" s="41"/>
      <c r="P16" s="29">
        <v>4</v>
      </c>
      <c r="Q16" s="29"/>
      <c r="R16" s="29">
        <v>8</v>
      </c>
      <c r="S16" s="29"/>
      <c r="T16" s="29">
        <v>8</v>
      </c>
      <c r="U16" s="29"/>
      <c r="V16" s="29">
        <v>8</v>
      </c>
      <c r="W16" s="29"/>
      <c r="X16" s="29">
        <v>8</v>
      </c>
      <c r="Y16" s="29"/>
      <c r="Z16" s="29"/>
      <c r="AA16" s="29"/>
      <c r="AB16" s="41"/>
      <c r="AC16" s="41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1"/>
      <c r="AQ16" s="41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1"/>
      <c r="BE16" s="41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36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 t="s">
        <v>72</v>
      </c>
    </row>
    <row r="17" spans="1:73" s="18" customFormat="1" ht="29.55" customHeight="1">
      <c r="A17" s="37" t="s">
        <v>32</v>
      </c>
      <c r="B17" s="54" t="s">
        <v>148</v>
      </c>
      <c r="C17" s="55" t="s">
        <v>149</v>
      </c>
      <c r="D17" s="42" t="s">
        <v>83</v>
      </c>
      <c r="E17" s="46">
        <v>800000</v>
      </c>
      <c r="F17" s="29"/>
      <c r="G17" s="29"/>
      <c r="H17" s="29"/>
      <c r="I17" s="29"/>
      <c r="J17" s="29"/>
      <c r="K17" s="29"/>
      <c r="L17" s="29">
        <v>8</v>
      </c>
      <c r="M17" s="29"/>
      <c r="N17" s="41"/>
      <c r="O17" s="41"/>
      <c r="P17" s="29">
        <v>8</v>
      </c>
      <c r="Q17" s="29"/>
      <c r="R17" s="29">
        <v>8</v>
      </c>
      <c r="S17" s="29"/>
      <c r="T17" s="29">
        <v>0</v>
      </c>
      <c r="U17" s="29"/>
      <c r="V17" s="29">
        <v>8</v>
      </c>
      <c r="W17" s="29"/>
      <c r="X17" s="29">
        <v>8</v>
      </c>
      <c r="Y17" s="29"/>
      <c r="Z17" s="29"/>
      <c r="AA17" s="29"/>
      <c r="AB17" s="41"/>
      <c r="AC17" s="41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1"/>
      <c r="AQ17" s="41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1"/>
      <c r="BE17" s="41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40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 t="s">
        <v>72</v>
      </c>
    </row>
    <row r="18" spans="1:73" s="18" customFormat="1" ht="29.4" customHeight="1">
      <c r="A18" s="37" t="s">
        <v>35</v>
      </c>
      <c r="B18" s="54" t="s">
        <v>150</v>
      </c>
      <c r="C18" s="55" t="s">
        <v>151</v>
      </c>
      <c r="D18" s="42" t="s">
        <v>83</v>
      </c>
      <c r="E18" s="46">
        <v>800000</v>
      </c>
      <c r="F18" s="29"/>
      <c r="G18" s="29"/>
      <c r="H18" s="29"/>
      <c r="I18" s="29"/>
      <c r="J18" s="29"/>
      <c r="K18" s="29"/>
      <c r="L18" s="29"/>
      <c r="M18" s="29"/>
      <c r="N18" s="41"/>
      <c r="O18" s="41"/>
      <c r="P18" s="29"/>
      <c r="Q18" s="29"/>
      <c r="R18" s="29">
        <v>8</v>
      </c>
      <c r="S18" s="29"/>
      <c r="T18" s="29">
        <v>8</v>
      </c>
      <c r="U18" s="29"/>
      <c r="V18" s="29">
        <v>8</v>
      </c>
      <c r="W18" s="29"/>
      <c r="X18" s="29">
        <v>8</v>
      </c>
      <c r="Y18" s="29"/>
      <c r="Z18" s="29"/>
      <c r="AA18" s="29"/>
      <c r="AB18" s="41"/>
      <c r="AC18" s="41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1"/>
      <c r="AQ18" s="41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1"/>
      <c r="BE18" s="41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32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 t="s">
        <v>72</v>
      </c>
    </row>
    <row r="19" spans="1:73" s="18" customFormat="1" ht="29.55" customHeight="1">
      <c r="A19" s="37" t="s">
        <v>36</v>
      </c>
      <c r="B19" s="15"/>
      <c r="C19" s="16"/>
      <c r="D19" s="42"/>
      <c r="E19" s="46"/>
      <c r="F19" s="29"/>
      <c r="G19" s="29"/>
      <c r="H19" s="29"/>
      <c r="I19" s="29"/>
      <c r="J19" s="29"/>
      <c r="K19" s="29"/>
      <c r="L19" s="29"/>
      <c r="M19" s="29"/>
      <c r="N19" s="41"/>
      <c r="O19" s="41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1"/>
      <c r="AC19" s="41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1"/>
      <c r="AQ19" s="41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1"/>
      <c r="BE19" s="41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37" t="s">
        <v>37</v>
      </c>
      <c r="B20" s="15"/>
      <c r="C20" s="16"/>
      <c r="D20" s="42"/>
      <c r="E20" s="46"/>
      <c r="F20" s="29"/>
      <c r="G20" s="29"/>
      <c r="H20" s="29"/>
      <c r="I20" s="29"/>
      <c r="J20" s="29"/>
      <c r="K20" s="29"/>
      <c r="L20" s="29"/>
      <c r="M20" s="29"/>
      <c r="N20" s="41"/>
      <c r="O20" s="41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1"/>
      <c r="AC20" s="41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1"/>
      <c r="AQ20" s="41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1"/>
      <c r="BE20" s="41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37" t="s">
        <v>38</v>
      </c>
      <c r="B21" s="15"/>
      <c r="C21" s="16"/>
      <c r="D21" s="42"/>
      <c r="E21" s="46"/>
      <c r="F21" s="29"/>
      <c r="G21" s="29"/>
      <c r="H21" s="29"/>
      <c r="I21" s="29"/>
      <c r="J21" s="29"/>
      <c r="K21" s="29"/>
      <c r="L21" s="29"/>
      <c r="M21" s="29"/>
      <c r="N21" s="41"/>
      <c r="O21" s="41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1"/>
      <c r="AC21" s="41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1"/>
      <c r="AQ21" s="41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1"/>
      <c r="BE21" s="41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37" t="s">
        <v>39</v>
      </c>
      <c r="B22" s="15"/>
      <c r="C22" s="16"/>
      <c r="D22" s="42"/>
      <c r="E22" s="46"/>
      <c r="F22" s="29"/>
      <c r="G22" s="29"/>
      <c r="H22" s="29"/>
      <c r="I22" s="29"/>
      <c r="J22" s="29"/>
      <c r="K22" s="29"/>
      <c r="L22" s="29"/>
      <c r="M22" s="29"/>
      <c r="N22" s="41"/>
      <c r="O22" s="41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1"/>
      <c r="AC22" s="41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1"/>
      <c r="AQ22" s="41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1"/>
      <c r="BE22" s="41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37" t="s">
        <v>40</v>
      </c>
      <c r="B23" s="15"/>
      <c r="C23" s="16"/>
      <c r="D23" s="42"/>
      <c r="E23" s="46"/>
      <c r="F23" s="29"/>
      <c r="G23" s="29"/>
      <c r="H23" s="29"/>
      <c r="I23" s="29"/>
      <c r="J23" s="29"/>
      <c r="K23" s="29"/>
      <c r="L23" s="29"/>
      <c r="M23" s="29"/>
      <c r="N23" s="41"/>
      <c r="O23" s="41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1"/>
      <c r="AC23" s="41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1"/>
      <c r="AQ23" s="41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1"/>
      <c r="BE23" s="41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37" t="s">
        <v>41</v>
      </c>
      <c r="B24" s="15"/>
      <c r="C24" s="16"/>
      <c r="D24" s="42"/>
      <c r="E24" s="46"/>
      <c r="F24" s="29"/>
      <c r="G24" s="29"/>
      <c r="H24" s="29"/>
      <c r="I24" s="29"/>
      <c r="J24" s="29"/>
      <c r="K24" s="29"/>
      <c r="L24" s="29"/>
      <c r="M24" s="29"/>
      <c r="N24" s="41"/>
      <c r="O24" s="41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1"/>
      <c r="AC24" s="41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1"/>
      <c r="AQ24" s="41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1"/>
      <c r="BE24" s="41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0"/>
      <c r="B25" s="30"/>
      <c r="C25" s="31"/>
      <c r="D25" s="31"/>
      <c r="E25" s="46"/>
      <c r="F25" s="29"/>
      <c r="G25" s="29"/>
      <c r="H25" s="29"/>
      <c r="I25" s="29"/>
      <c r="J25" s="29"/>
      <c r="K25" s="29"/>
      <c r="L25" s="29"/>
      <c r="M25" s="29"/>
      <c r="N25" s="41"/>
      <c r="O25" s="41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1"/>
      <c r="AC25" s="41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1"/>
      <c r="AQ25" s="41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1"/>
      <c r="BE25" s="41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110" t="s">
        <v>4</v>
      </c>
      <c r="B26" s="111"/>
      <c r="C26" s="111"/>
      <c r="D26" s="111"/>
      <c r="E26" s="11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320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38"/>
      <c r="B27" s="22"/>
      <c r="C27" s="22"/>
      <c r="D27" s="22"/>
      <c r="E27" s="4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44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48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49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49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49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0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BB9:BC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AT9:AU9"/>
    <mergeCell ref="A26:E26"/>
    <mergeCell ref="AV9:AW9"/>
    <mergeCell ref="AX9:AY9"/>
    <mergeCell ref="AZ9:BA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conditionalFormatting sqref="B1:B10 B19:B1048576">
    <cfRule type="duplicateValues" dxfId="16" priority="2"/>
  </conditionalFormatting>
  <conditionalFormatting sqref="F8:F9 H8:H9 J8:J9 Z8:Z9 AB8:AB9 AD8:AD9 AF8:AF9 AH8:AH9 AJ8:AJ9 AL8:AL9 AN8:AN9 AP8:AP9 AR8:AR9 AT8:AT9 AV8:AV9 AX8:AX9 AZ8:AZ9 BB8:BB9 BD8:BD9 BF8:BF9 BH8:BH9 BJ8:BJ9 BL8:BL9 BN8:BN9">
    <cfRule type="expression" dxfId="14" priority="5">
      <formula>IF(OR(H$10="CN",H$10="OT CN"),1,0)</formula>
    </cfRule>
  </conditionalFormatting>
  <conditionalFormatting sqref="F11:BO27">
    <cfRule type="expression" dxfId="13" priority="3">
      <formula>IF(OR(F$10="CN",F$10="OT CN"),1,0)</formula>
    </cfRule>
  </conditionalFormatting>
  <conditionalFormatting sqref="L8:L9 N8:N9 P8:P9 R8:R9 T8:T9 V8:V9 X8:X9">
    <cfRule type="expression" dxfId="12" priority="1">
      <formula>IF(OR(N$10="CN",N$10="OT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1F88B3B-970D-47AC-8A68-4421236DE73E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B19:D25 C11 C12:D12 D13:D18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D862-B9B5-4691-B588-E032FCB2ED49}">
  <dimension ref="A1:BU33"/>
  <sheetViews>
    <sheetView zoomScale="70" zoomScaleNormal="70" workbookViewId="0">
      <selection activeCell="P19" sqref="P19"/>
    </sheetView>
  </sheetViews>
  <sheetFormatPr defaultColWidth="14.33203125" defaultRowHeight="15"/>
  <cols>
    <col min="1" max="1" width="12.44140625" style="34" customWidth="1"/>
    <col min="2" max="2" width="18.33203125" style="8" customWidth="1"/>
    <col min="3" max="3" width="29.109375" style="1" customWidth="1"/>
    <col min="4" max="4" width="20" style="1" customWidth="1"/>
    <col min="5" max="5" width="12.21875" style="51" customWidth="1"/>
    <col min="6" max="19" width="6.44140625" style="1" customWidth="1"/>
    <col min="20" max="32" width="6.44140625" style="1" hidden="1" customWidth="1"/>
    <col min="33" max="33" width="10" style="1" hidden="1" customWidth="1"/>
    <col min="34" max="65" width="6.44140625" style="1" hidden="1" customWidth="1"/>
    <col min="66" max="67" width="8.44140625" style="1" hidden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33"/>
      <c r="E1" s="43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43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43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5"/>
    </row>
    <row r="5" spans="1:73" ht="29.4">
      <c r="A5" s="86" t="s">
        <v>43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spans="1:73">
      <c r="A6" s="35"/>
      <c r="B6" s="3"/>
      <c r="C6" s="3"/>
      <c r="D6" s="3"/>
      <c r="E6" s="4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36"/>
      <c r="B7" s="6"/>
      <c r="C7" s="5"/>
      <c r="D7" s="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7" t="s">
        <v>0</v>
      </c>
      <c r="B8" s="87" t="s">
        <v>5</v>
      </c>
      <c r="C8" s="90" t="s">
        <v>6</v>
      </c>
      <c r="D8" s="90" t="s">
        <v>45</v>
      </c>
      <c r="E8" s="93" t="s">
        <v>47</v>
      </c>
      <c r="F8" s="83">
        <v>22</v>
      </c>
      <c r="G8" s="84"/>
      <c r="H8" s="83">
        <v>23</v>
      </c>
      <c r="I8" s="84"/>
      <c r="J8" s="83">
        <v>24</v>
      </c>
      <c r="K8" s="84"/>
      <c r="L8" s="83">
        <v>25</v>
      </c>
      <c r="M8" s="84"/>
      <c r="N8" s="83">
        <v>26</v>
      </c>
      <c r="O8" s="84"/>
      <c r="P8" s="83">
        <v>27</v>
      </c>
      <c r="Q8" s="84"/>
      <c r="R8" s="83">
        <v>28</v>
      </c>
      <c r="S8" s="84"/>
      <c r="T8" s="83">
        <v>29</v>
      </c>
      <c r="U8" s="84"/>
      <c r="V8" s="83">
        <v>30</v>
      </c>
      <c r="W8" s="84"/>
      <c r="X8" s="83">
        <v>31</v>
      </c>
      <c r="Y8" s="84"/>
      <c r="Z8" s="83">
        <v>32</v>
      </c>
      <c r="AA8" s="84"/>
      <c r="AB8" s="83">
        <v>33</v>
      </c>
      <c r="AC8" s="84"/>
      <c r="AD8" s="83">
        <v>34</v>
      </c>
      <c r="AE8" s="84"/>
      <c r="AF8" s="83">
        <v>35</v>
      </c>
      <c r="AG8" s="84"/>
      <c r="AH8" s="83">
        <v>36</v>
      </c>
      <c r="AI8" s="84"/>
      <c r="AJ8" s="83">
        <v>37</v>
      </c>
      <c r="AK8" s="84"/>
      <c r="AL8" s="83">
        <v>38</v>
      </c>
      <c r="AM8" s="84"/>
      <c r="AN8" s="83">
        <v>39</v>
      </c>
      <c r="AO8" s="84"/>
      <c r="AP8" s="83">
        <v>40</v>
      </c>
      <c r="AQ8" s="84"/>
      <c r="AR8" s="83">
        <v>41</v>
      </c>
      <c r="AS8" s="84"/>
      <c r="AT8" s="83">
        <v>42</v>
      </c>
      <c r="AU8" s="84"/>
      <c r="AV8" s="83">
        <v>43</v>
      </c>
      <c r="AW8" s="84"/>
      <c r="AX8" s="83">
        <v>44</v>
      </c>
      <c r="AY8" s="84"/>
      <c r="AZ8" s="83">
        <v>45</v>
      </c>
      <c r="BA8" s="84"/>
      <c r="BB8" s="83">
        <v>46</v>
      </c>
      <c r="BC8" s="84"/>
      <c r="BD8" s="83">
        <v>47</v>
      </c>
      <c r="BE8" s="84"/>
      <c r="BF8" s="83">
        <v>48</v>
      </c>
      <c r="BG8" s="84"/>
      <c r="BH8" s="83">
        <v>49</v>
      </c>
      <c r="BI8" s="84"/>
      <c r="BJ8" s="83">
        <v>50</v>
      </c>
      <c r="BK8" s="84"/>
      <c r="BL8" s="83">
        <v>51</v>
      </c>
      <c r="BM8" s="84"/>
      <c r="BN8" s="83">
        <v>52</v>
      </c>
      <c r="BO8" s="84"/>
      <c r="BP8" s="101" t="s">
        <v>7</v>
      </c>
      <c r="BQ8" s="102"/>
      <c r="BR8" s="102"/>
      <c r="BS8" s="103"/>
      <c r="BT8" s="107" t="s">
        <v>23</v>
      </c>
      <c r="BU8" s="98" t="s">
        <v>17</v>
      </c>
    </row>
    <row r="9" spans="1:73" s="11" customFormat="1" ht="26.55" customHeight="1">
      <c r="A9" s="88"/>
      <c r="B9" s="88"/>
      <c r="C9" s="91"/>
      <c r="D9" s="91"/>
      <c r="E9" s="94"/>
      <c r="F9" s="52" t="s">
        <v>13</v>
      </c>
      <c r="G9" s="53"/>
      <c r="H9" s="52" t="s">
        <v>14</v>
      </c>
      <c r="I9" s="53"/>
      <c r="J9" s="52" t="s">
        <v>8</v>
      </c>
      <c r="K9" s="53"/>
      <c r="L9" s="52" t="s">
        <v>9</v>
      </c>
      <c r="M9" s="53"/>
      <c r="N9" s="52" t="s">
        <v>10</v>
      </c>
      <c r="O9" s="53"/>
      <c r="P9" s="52" t="s">
        <v>11</v>
      </c>
      <c r="Q9" s="53"/>
      <c r="R9" s="52" t="s">
        <v>12</v>
      </c>
      <c r="S9" s="53"/>
      <c r="T9" s="52" t="s">
        <v>13</v>
      </c>
      <c r="U9" s="53"/>
      <c r="V9" s="52" t="s">
        <v>14</v>
      </c>
      <c r="W9" s="53"/>
      <c r="X9" s="52" t="s">
        <v>8</v>
      </c>
      <c r="Y9" s="53"/>
      <c r="Z9" s="52" t="s">
        <v>9</v>
      </c>
      <c r="AA9" s="53"/>
      <c r="AB9" s="52" t="s">
        <v>10</v>
      </c>
      <c r="AC9" s="53"/>
      <c r="AD9" s="52" t="s">
        <v>11</v>
      </c>
      <c r="AE9" s="53"/>
      <c r="AF9" s="52" t="s">
        <v>12</v>
      </c>
      <c r="AG9" s="53"/>
      <c r="AH9" s="52" t="s">
        <v>13</v>
      </c>
      <c r="AI9" s="53"/>
      <c r="AJ9" s="52" t="s">
        <v>14</v>
      </c>
      <c r="AK9" s="53"/>
      <c r="AL9" s="52" t="s">
        <v>8</v>
      </c>
      <c r="AM9" s="53"/>
      <c r="AN9" s="52" t="s">
        <v>9</v>
      </c>
      <c r="AO9" s="53"/>
      <c r="AP9" s="52" t="s">
        <v>10</v>
      </c>
      <c r="AQ9" s="53"/>
      <c r="AR9" s="52" t="s">
        <v>11</v>
      </c>
      <c r="AS9" s="53"/>
      <c r="AT9" s="52" t="s">
        <v>12</v>
      </c>
      <c r="AU9" s="53"/>
      <c r="AV9" s="52" t="s">
        <v>13</v>
      </c>
      <c r="AW9" s="53"/>
      <c r="AX9" s="52" t="s">
        <v>14</v>
      </c>
      <c r="AY9" s="53"/>
      <c r="AZ9" s="52" t="s">
        <v>8</v>
      </c>
      <c r="BA9" s="53"/>
      <c r="BB9" s="52" t="s">
        <v>9</v>
      </c>
      <c r="BC9" s="53"/>
      <c r="BD9" s="96" t="s">
        <v>10</v>
      </c>
      <c r="BE9" s="97"/>
      <c r="BF9" s="96" t="s">
        <v>11</v>
      </c>
      <c r="BG9" s="97"/>
      <c r="BH9" s="96" t="s">
        <v>12</v>
      </c>
      <c r="BI9" s="97"/>
      <c r="BJ9" s="96"/>
      <c r="BK9" s="97"/>
      <c r="BL9" s="96"/>
      <c r="BM9" s="97"/>
      <c r="BN9" s="96"/>
      <c r="BO9" s="97"/>
      <c r="BP9" s="104"/>
      <c r="BQ9" s="105"/>
      <c r="BR9" s="105"/>
      <c r="BS9" s="106"/>
      <c r="BT9" s="108"/>
      <c r="BU9" s="99"/>
    </row>
    <row r="10" spans="1:73" s="11" customFormat="1" ht="42" customHeight="1">
      <c r="A10" s="89"/>
      <c r="B10" s="89"/>
      <c r="C10" s="92"/>
      <c r="D10" s="92"/>
      <c r="E10" s="95"/>
      <c r="F10" s="13" t="s">
        <v>18</v>
      </c>
      <c r="G10" s="13" t="s">
        <v>19</v>
      </c>
      <c r="H10" s="39" t="s">
        <v>20</v>
      </c>
      <c r="I10" s="39" t="s">
        <v>21</v>
      </c>
      <c r="J10" s="13" t="s">
        <v>18</v>
      </c>
      <c r="K10" s="13" t="s">
        <v>19</v>
      </c>
      <c r="L10" s="13" t="s">
        <v>18</v>
      </c>
      <c r="M10" s="13" t="s">
        <v>19</v>
      </c>
      <c r="N10" s="13" t="s">
        <v>18</v>
      </c>
      <c r="O10" s="13" t="s">
        <v>19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39" t="s">
        <v>20</v>
      </c>
      <c r="W10" s="39" t="s">
        <v>21</v>
      </c>
      <c r="X10" s="13" t="s">
        <v>18</v>
      </c>
      <c r="Y10" s="13" t="s">
        <v>19</v>
      </c>
      <c r="Z10" s="13" t="s">
        <v>18</v>
      </c>
      <c r="AA10" s="13" t="s">
        <v>19</v>
      </c>
      <c r="AB10" s="13" t="s">
        <v>18</v>
      </c>
      <c r="AC10" s="13" t="s">
        <v>19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39" t="s">
        <v>20</v>
      </c>
      <c r="AK10" s="39" t="s">
        <v>21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13" t="s">
        <v>18</v>
      </c>
      <c r="AQ10" s="13" t="s">
        <v>19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39" t="s">
        <v>20</v>
      </c>
      <c r="AY10" s="39" t="s">
        <v>21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13" t="s">
        <v>18</v>
      </c>
      <c r="BE10" s="13" t="s">
        <v>19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/>
      <c r="BK10" s="13"/>
      <c r="BL10" s="13"/>
      <c r="BM10" s="13"/>
      <c r="BN10" s="13"/>
      <c r="BO10" s="13"/>
      <c r="BP10" s="13" t="s">
        <v>18</v>
      </c>
      <c r="BQ10" s="13" t="s">
        <v>19</v>
      </c>
      <c r="BR10" s="14" t="s">
        <v>20</v>
      </c>
      <c r="BS10" s="14" t="s">
        <v>21</v>
      </c>
      <c r="BT10" s="109"/>
      <c r="BU10" s="100"/>
    </row>
    <row r="11" spans="1:73" s="18" customFormat="1" ht="29.55" customHeight="1">
      <c r="A11" s="37" t="s">
        <v>26</v>
      </c>
      <c r="B11" s="54" t="s">
        <v>64</v>
      </c>
      <c r="C11" s="16" t="s">
        <v>65</v>
      </c>
      <c r="D11" s="32" t="s">
        <v>71</v>
      </c>
      <c r="E11" s="46">
        <v>900000</v>
      </c>
      <c r="F11" s="29">
        <v>8</v>
      </c>
      <c r="G11" s="29"/>
      <c r="H11" s="41"/>
      <c r="I11" s="41"/>
      <c r="J11" s="29">
        <v>8</v>
      </c>
      <c r="K11" s="29"/>
      <c r="L11" s="29">
        <v>8</v>
      </c>
      <c r="M11" s="29"/>
      <c r="N11" s="29">
        <v>4</v>
      </c>
      <c r="O11" s="29"/>
      <c r="P11" s="29">
        <v>4</v>
      </c>
      <c r="Q11" s="29"/>
      <c r="R11" s="29">
        <v>8</v>
      </c>
      <c r="S11" s="29"/>
      <c r="T11" s="29"/>
      <c r="U11" s="29"/>
      <c r="V11" s="41"/>
      <c r="W11" s="41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1"/>
      <c r="AK11" s="41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41"/>
      <c r="AY11" s="41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40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 t="s">
        <v>72</v>
      </c>
    </row>
    <row r="12" spans="1:73" s="18" customFormat="1" ht="29.55" customHeight="1">
      <c r="A12" s="37" t="s">
        <v>27</v>
      </c>
      <c r="B12" s="15"/>
      <c r="C12" s="16"/>
      <c r="D12" s="42"/>
      <c r="E12" s="46"/>
      <c r="F12" s="29"/>
      <c r="G12" s="29"/>
      <c r="H12" s="41"/>
      <c r="I12" s="41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41"/>
      <c r="W12" s="41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41"/>
      <c r="AK12" s="41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41"/>
      <c r="AY12" s="41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0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37" t="s">
        <v>28</v>
      </c>
      <c r="B13" s="15"/>
      <c r="C13" s="16"/>
      <c r="D13" s="42"/>
      <c r="E13" s="46"/>
      <c r="F13" s="29"/>
      <c r="G13" s="29"/>
      <c r="H13" s="41"/>
      <c r="I13" s="41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41"/>
      <c r="W13" s="41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41"/>
      <c r="AK13" s="41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41"/>
      <c r="AY13" s="41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0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37" t="s">
        <v>29</v>
      </c>
      <c r="B14" s="15"/>
      <c r="C14" s="16"/>
      <c r="D14" s="42"/>
      <c r="E14" s="46"/>
      <c r="F14" s="29"/>
      <c r="G14" s="29"/>
      <c r="H14" s="41"/>
      <c r="I14" s="41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41"/>
      <c r="W14" s="41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41"/>
      <c r="AK14" s="41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41"/>
      <c r="AY14" s="41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0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37" t="s">
        <v>30</v>
      </c>
      <c r="B15" s="15"/>
      <c r="C15" s="16"/>
      <c r="D15" s="42"/>
      <c r="E15" s="46"/>
      <c r="F15" s="29"/>
      <c r="G15" s="29"/>
      <c r="H15" s="41"/>
      <c r="I15" s="41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1"/>
      <c r="W15" s="41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41"/>
      <c r="AK15" s="41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41"/>
      <c r="AY15" s="41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37" t="s">
        <v>31</v>
      </c>
      <c r="B16" s="15"/>
      <c r="C16" s="16"/>
      <c r="D16" s="42"/>
      <c r="E16" s="46"/>
      <c r="F16" s="29"/>
      <c r="G16" s="29"/>
      <c r="H16" s="41"/>
      <c r="I16" s="41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41"/>
      <c r="W16" s="41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41"/>
      <c r="AK16" s="41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41"/>
      <c r="AY16" s="41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37" t="s">
        <v>32</v>
      </c>
      <c r="B17" s="15"/>
      <c r="C17" s="16"/>
      <c r="D17" s="42"/>
      <c r="E17" s="46"/>
      <c r="F17" s="29"/>
      <c r="G17" s="29"/>
      <c r="H17" s="41"/>
      <c r="I17" s="41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41"/>
      <c r="W17" s="41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41"/>
      <c r="AK17" s="41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41"/>
      <c r="AY17" s="41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37" t="s">
        <v>35</v>
      </c>
      <c r="B18" s="15"/>
      <c r="C18" s="16"/>
      <c r="D18" s="42"/>
      <c r="E18" s="46"/>
      <c r="F18" s="29"/>
      <c r="G18" s="29"/>
      <c r="H18" s="41"/>
      <c r="I18" s="41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41"/>
      <c r="W18" s="41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41"/>
      <c r="AK18" s="41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41"/>
      <c r="AY18" s="41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37" t="s">
        <v>36</v>
      </c>
      <c r="B19" s="15"/>
      <c r="C19" s="16"/>
      <c r="D19" s="42"/>
      <c r="E19" s="46"/>
      <c r="F19" s="29"/>
      <c r="G19" s="29"/>
      <c r="H19" s="41"/>
      <c r="I19" s="41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41"/>
      <c r="W19" s="41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41"/>
      <c r="AK19" s="41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41"/>
      <c r="AY19" s="41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37" t="s">
        <v>37</v>
      </c>
      <c r="B20" s="15"/>
      <c r="C20" s="16"/>
      <c r="D20" s="42"/>
      <c r="E20" s="46"/>
      <c r="F20" s="29"/>
      <c r="G20" s="29"/>
      <c r="H20" s="41"/>
      <c r="I20" s="41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41"/>
      <c r="W20" s="41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41"/>
      <c r="AK20" s="41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41"/>
      <c r="AY20" s="41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37" t="s">
        <v>38</v>
      </c>
      <c r="B21" s="15"/>
      <c r="C21" s="16"/>
      <c r="D21" s="42"/>
      <c r="E21" s="46"/>
      <c r="F21" s="29"/>
      <c r="G21" s="29"/>
      <c r="H21" s="41"/>
      <c r="I21" s="41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41"/>
      <c r="W21" s="41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41"/>
      <c r="AK21" s="41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41"/>
      <c r="AY21" s="41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37" t="s">
        <v>39</v>
      </c>
      <c r="B22" s="15"/>
      <c r="C22" s="16"/>
      <c r="D22" s="42"/>
      <c r="E22" s="46"/>
      <c r="F22" s="29"/>
      <c r="G22" s="29"/>
      <c r="H22" s="41"/>
      <c r="I22" s="41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41"/>
      <c r="W22" s="41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41"/>
      <c r="AK22" s="41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41"/>
      <c r="AY22" s="41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37" t="s">
        <v>40</v>
      </c>
      <c r="B23" s="15"/>
      <c r="C23" s="16"/>
      <c r="D23" s="42"/>
      <c r="E23" s="46"/>
      <c r="F23" s="29"/>
      <c r="G23" s="29"/>
      <c r="H23" s="41"/>
      <c r="I23" s="41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41"/>
      <c r="W23" s="41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41"/>
      <c r="AK23" s="41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41"/>
      <c r="AY23" s="41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37" t="s">
        <v>41</v>
      </c>
      <c r="B24" s="15"/>
      <c r="C24" s="16"/>
      <c r="D24" s="42"/>
      <c r="E24" s="46"/>
      <c r="F24" s="29"/>
      <c r="G24" s="29"/>
      <c r="H24" s="41"/>
      <c r="I24" s="41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41"/>
      <c r="W24" s="41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41"/>
      <c r="AK24" s="41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41"/>
      <c r="AY24" s="41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0"/>
      <c r="B25" s="30"/>
      <c r="C25" s="31"/>
      <c r="D25" s="31"/>
      <c r="E25" s="46"/>
      <c r="F25" s="29"/>
      <c r="G25" s="29"/>
      <c r="H25" s="41"/>
      <c r="I25" s="41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41"/>
      <c r="W25" s="41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41"/>
      <c r="AK25" s="41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41"/>
      <c r="AY25" s="41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110" t="s">
        <v>4</v>
      </c>
      <c r="B26" s="111"/>
      <c r="C26" s="111"/>
      <c r="D26" s="111"/>
      <c r="E26" s="11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40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38"/>
      <c r="B27" s="22"/>
      <c r="C27" s="22"/>
      <c r="D27" s="22"/>
      <c r="E27" s="4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44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48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49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49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49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0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48">
    <mergeCell ref="A26:E26"/>
    <mergeCell ref="BU8:BU10"/>
    <mergeCell ref="BH8:BI8"/>
    <mergeCell ref="BJ8:BK8"/>
    <mergeCell ref="BL8:BM8"/>
    <mergeCell ref="BN8:BO8"/>
    <mergeCell ref="BP8:BS9"/>
    <mergeCell ref="BT8:BT10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AT8:AU8"/>
    <mergeCell ref="AH8:AI8"/>
    <mergeCell ref="AJ8:AK8"/>
    <mergeCell ref="AL8:AM8"/>
    <mergeCell ref="AN8:AO8"/>
    <mergeCell ref="R8:S8"/>
    <mergeCell ref="T8:U8"/>
    <mergeCell ref="X8:Y8"/>
    <mergeCell ref="Z8:AA8"/>
    <mergeCell ref="AB8:AC8"/>
    <mergeCell ref="AD8:AE8"/>
    <mergeCell ref="AF8:AG8"/>
    <mergeCell ref="AR8:AS8"/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AP8:AQ8"/>
  </mergeCells>
  <conditionalFormatting sqref="B1:B10 B12:B1048576">
    <cfRule type="duplicateValues" dxfId="11" priority="2"/>
  </conditionalFormatting>
  <conditionalFormatting sqref="F9 H9 J9 L9 N9 P9 R9 T9 V9 X9 Z9 AB9 AD9 AF9 AH9 AJ9 AL9 AN9 AP9 AR9 AT9 AV9 AX9 AZ9 BB9 BD9 BF9 BH9 BJ9 BL9 BN9">
    <cfRule type="expression" dxfId="9" priority="5">
      <formula>IF(OR(H$10="CN",H$10="OT CN"),1,0)</formula>
    </cfRule>
  </conditionalFormatting>
  <conditionalFormatting sqref="F11:BO27">
    <cfRule type="expression" dxfId="8" priority="3">
      <formula>IF(OR(F$10="CN",F$10="OT CN"),1,0)</formula>
    </cfRule>
  </conditionalFormatting>
  <conditionalFormatting sqref="F8 H8 J8 N8 R8 V8 Z8 AD8 AH8 AL8 AP8 AT8 AX8 BB8 BF8 BJ8 BN8 L8 P8 T8 X8 AB8 AF8 AJ8 AN8 AR8 AV8 AZ8 BD8 BH8 BL8">
    <cfRule type="expression" dxfId="0" priority="1">
      <formula>IF(OR(H$10="CN",H$10="OT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CF5BF191-1A90-429A-90BA-49DEDC19CFCA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B12:D25 C11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8B65-3415-45D2-9E90-37B03054DF59}">
  <dimension ref="A1:E34"/>
  <sheetViews>
    <sheetView tabSelected="1" topLeftCell="A17" zoomScale="115" zoomScaleNormal="115" workbookViewId="0">
      <selection activeCell="G28" sqref="G28"/>
    </sheetView>
  </sheetViews>
  <sheetFormatPr defaultColWidth="8.77734375" defaultRowHeight="15.6"/>
  <cols>
    <col min="1" max="1" width="7.44140625" style="70" customWidth="1"/>
    <col min="2" max="2" width="22.44140625" style="62" customWidth="1"/>
    <col min="3" max="3" width="21.44140625" style="62" customWidth="1"/>
    <col min="4" max="4" width="19" style="70" customWidth="1"/>
    <col min="5" max="5" width="22.109375" style="62" customWidth="1"/>
    <col min="6" max="6" width="14.21875" style="62" customWidth="1"/>
    <col min="7" max="16384" width="8.77734375" style="62"/>
  </cols>
  <sheetData>
    <row r="1" spans="1:5">
      <c r="A1" s="82" t="s">
        <v>48</v>
      </c>
      <c r="B1" s="82"/>
      <c r="C1" s="82"/>
      <c r="D1" s="82"/>
      <c r="E1" s="82"/>
    </row>
    <row r="2" spans="1:5" s="64" customFormat="1">
      <c r="A2" s="63" t="s">
        <v>33</v>
      </c>
      <c r="B2" s="61" t="s">
        <v>5</v>
      </c>
      <c r="C2" s="61" t="s">
        <v>24</v>
      </c>
      <c r="D2" s="63" t="s">
        <v>25</v>
      </c>
      <c r="E2" s="61" t="s">
        <v>34</v>
      </c>
    </row>
    <row r="3" spans="1:5" ht="24" customHeight="1">
      <c r="A3" s="65" t="s">
        <v>26</v>
      </c>
      <c r="B3" s="66" t="s">
        <v>49</v>
      </c>
      <c r="C3" s="67" t="s">
        <v>44</v>
      </c>
      <c r="D3" s="68" t="s">
        <v>50</v>
      </c>
      <c r="E3" s="69" t="s">
        <v>51</v>
      </c>
    </row>
    <row r="4" spans="1:5" ht="24" customHeight="1">
      <c r="A4" s="65" t="s">
        <v>28</v>
      </c>
      <c r="B4" s="66" t="s">
        <v>59</v>
      </c>
      <c r="C4" s="67" t="s">
        <v>53</v>
      </c>
      <c r="D4" s="66" t="s">
        <v>135</v>
      </c>
      <c r="E4" s="69" t="s">
        <v>60</v>
      </c>
    </row>
    <row r="5" spans="1:5" ht="24" customHeight="1">
      <c r="A5" s="65" t="s">
        <v>29</v>
      </c>
      <c r="B5" s="66" t="s">
        <v>56</v>
      </c>
      <c r="C5" s="67" t="s">
        <v>55</v>
      </c>
      <c r="D5" s="66" t="s">
        <v>62</v>
      </c>
      <c r="E5" s="69" t="s">
        <v>63</v>
      </c>
    </row>
    <row r="6" spans="1:5" ht="24" customHeight="1">
      <c r="A6" s="65" t="s">
        <v>30</v>
      </c>
      <c r="B6" s="66" t="s">
        <v>64</v>
      </c>
      <c r="C6" s="67" t="s">
        <v>65</v>
      </c>
      <c r="D6" s="66" t="s">
        <v>66</v>
      </c>
      <c r="E6" s="69" t="s">
        <v>51</v>
      </c>
    </row>
    <row r="7" spans="1:5" ht="24" customHeight="1">
      <c r="A7" s="65" t="s">
        <v>31</v>
      </c>
      <c r="B7" s="66" t="s">
        <v>58</v>
      </c>
      <c r="C7" s="67" t="s">
        <v>57</v>
      </c>
      <c r="D7" s="66" t="s">
        <v>67</v>
      </c>
      <c r="E7" s="69" t="s">
        <v>51</v>
      </c>
    </row>
    <row r="8" spans="1:5" ht="24" customHeight="1">
      <c r="A8" s="65" t="s">
        <v>32</v>
      </c>
      <c r="B8" s="66" t="s">
        <v>68</v>
      </c>
      <c r="C8" s="67" t="s">
        <v>69</v>
      </c>
      <c r="D8" s="66" t="s">
        <v>70</v>
      </c>
      <c r="E8" s="69" t="s">
        <v>52</v>
      </c>
    </row>
    <row r="9" spans="1:5" ht="24" customHeight="1">
      <c r="A9" s="65" t="s">
        <v>35</v>
      </c>
      <c r="B9" s="73" t="s">
        <v>74</v>
      </c>
      <c r="C9" s="75" t="s">
        <v>75</v>
      </c>
      <c r="D9" s="66" t="s">
        <v>88</v>
      </c>
      <c r="E9" s="69" t="s">
        <v>63</v>
      </c>
    </row>
    <row r="10" spans="1:5" ht="24" customHeight="1">
      <c r="A10" s="65" t="s">
        <v>36</v>
      </c>
      <c r="B10" s="73" t="s">
        <v>76</v>
      </c>
      <c r="C10" s="74" t="s">
        <v>77</v>
      </c>
      <c r="D10" s="71" t="s">
        <v>84</v>
      </c>
      <c r="E10" s="69" t="s">
        <v>60</v>
      </c>
    </row>
    <row r="11" spans="1:5" ht="24" customHeight="1">
      <c r="A11" s="65" t="s">
        <v>37</v>
      </c>
      <c r="B11" s="73" t="s">
        <v>78</v>
      </c>
      <c r="C11" s="74" t="s">
        <v>79</v>
      </c>
      <c r="D11" s="72" t="s">
        <v>85</v>
      </c>
      <c r="E11" s="69" t="s">
        <v>86</v>
      </c>
    </row>
    <row r="12" spans="1:5" ht="24" customHeight="1">
      <c r="A12" s="65" t="s">
        <v>38</v>
      </c>
      <c r="B12" s="73" t="s">
        <v>80</v>
      </c>
      <c r="C12" s="74" t="s">
        <v>81</v>
      </c>
      <c r="D12" s="66" t="s">
        <v>87</v>
      </c>
      <c r="E12" s="69" t="s">
        <v>60</v>
      </c>
    </row>
    <row r="13" spans="1:5" ht="24" customHeight="1">
      <c r="A13" s="65" t="s">
        <v>39</v>
      </c>
      <c r="B13" s="73" t="s">
        <v>108</v>
      </c>
      <c r="C13" s="74" t="s">
        <v>109</v>
      </c>
      <c r="D13" s="66" t="s">
        <v>112</v>
      </c>
      <c r="E13" s="69" t="s">
        <v>51</v>
      </c>
    </row>
    <row r="14" spans="1:5" ht="24" customHeight="1">
      <c r="A14" s="65" t="s">
        <v>40</v>
      </c>
      <c r="B14" s="73" t="s">
        <v>99</v>
      </c>
      <c r="C14" s="74" t="s">
        <v>100</v>
      </c>
      <c r="D14" s="66" t="s">
        <v>113</v>
      </c>
      <c r="E14" s="69" t="s">
        <v>51</v>
      </c>
    </row>
    <row r="15" spans="1:5" ht="24" customHeight="1">
      <c r="A15" s="65" t="s">
        <v>41</v>
      </c>
      <c r="B15" s="73" t="s">
        <v>101</v>
      </c>
      <c r="C15" s="74" t="s">
        <v>102</v>
      </c>
      <c r="D15" s="66" t="s">
        <v>114</v>
      </c>
      <c r="E15" s="69" t="s">
        <v>115</v>
      </c>
    </row>
    <row r="16" spans="1:5" ht="24" customHeight="1">
      <c r="A16" s="65" t="s">
        <v>42</v>
      </c>
      <c r="B16" s="73" t="s">
        <v>103</v>
      </c>
      <c r="C16" s="74" t="s">
        <v>104</v>
      </c>
      <c r="D16" s="66" t="s">
        <v>116</v>
      </c>
      <c r="E16" s="69" t="s">
        <v>117</v>
      </c>
    </row>
    <row r="17" spans="1:5" ht="24" customHeight="1">
      <c r="A17" s="65" t="s">
        <v>124</v>
      </c>
      <c r="B17" s="73" t="s">
        <v>110</v>
      </c>
      <c r="C17" s="74" t="s">
        <v>111</v>
      </c>
      <c r="D17" s="66" t="s">
        <v>118</v>
      </c>
      <c r="E17" s="69" t="s">
        <v>61</v>
      </c>
    </row>
    <row r="18" spans="1:5" ht="24" customHeight="1">
      <c r="A18" s="65" t="s">
        <v>125</v>
      </c>
      <c r="B18" s="73" t="s">
        <v>106</v>
      </c>
      <c r="C18" s="74" t="s">
        <v>107</v>
      </c>
      <c r="D18" s="66" t="s">
        <v>119</v>
      </c>
      <c r="E18" s="69" t="s">
        <v>51</v>
      </c>
    </row>
    <row r="19" spans="1:5" ht="24" customHeight="1">
      <c r="A19" s="65" t="s">
        <v>126</v>
      </c>
      <c r="B19" s="73" t="s">
        <v>91</v>
      </c>
      <c r="C19" s="74" t="s">
        <v>92</v>
      </c>
      <c r="D19" s="66" t="s">
        <v>133</v>
      </c>
      <c r="E19" s="69" t="s">
        <v>51</v>
      </c>
    </row>
    <row r="20" spans="1:5" ht="24" customHeight="1">
      <c r="A20" s="65" t="s">
        <v>127</v>
      </c>
      <c r="B20" s="73" t="s">
        <v>93</v>
      </c>
      <c r="C20" s="74" t="s">
        <v>94</v>
      </c>
      <c r="D20" s="66" t="s">
        <v>120</v>
      </c>
      <c r="E20" s="69" t="s">
        <v>61</v>
      </c>
    </row>
    <row r="21" spans="1:5" ht="24" customHeight="1">
      <c r="A21" s="65" t="s">
        <v>128</v>
      </c>
      <c r="B21" s="73" t="s">
        <v>95</v>
      </c>
      <c r="C21" s="74" t="s">
        <v>96</v>
      </c>
      <c r="D21" s="66" t="s">
        <v>121</v>
      </c>
      <c r="E21" s="69" t="s">
        <v>52</v>
      </c>
    </row>
    <row r="22" spans="1:5" ht="24" customHeight="1">
      <c r="A22" s="65" t="s">
        <v>129</v>
      </c>
      <c r="B22" s="73" t="s">
        <v>89</v>
      </c>
      <c r="C22" s="74" t="s">
        <v>90</v>
      </c>
      <c r="D22" s="66" t="s">
        <v>122</v>
      </c>
      <c r="E22" s="69" t="s">
        <v>61</v>
      </c>
    </row>
    <row r="23" spans="1:5" ht="24" customHeight="1">
      <c r="A23" s="65" t="s">
        <v>130</v>
      </c>
      <c r="B23" s="73" t="s">
        <v>97</v>
      </c>
      <c r="C23" s="74" t="s">
        <v>98</v>
      </c>
      <c r="D23" s="66" t="s">
        <v>123</v>
      </c>
      <c r="E23" s="69" t="s">
        <v>51</v>
      </c>
    </row>
    <row r="24" spans="1:5" ht="24" customHeight="1">
      <c r="A24" s="65" t="s">
        <v>131</v>
      </c>
      <c r="B24" s="66" t="s">
        <v>144</v>
      </c>
      <c r="C24" s="74" t="s">
        <v>145</v>
      </c>
      <c r="D24" s="66" t="s">
        <v>156</v>
      </c>
      <c r="E24" s="69" t="s">
        <v>60</v>
      </c>
    </row>
    <row r="25" spans="1:5" ht="24" customHeight="1">
      <c r="A25" s="65" t="s">
        <v>132</v>
      </c>
      <c r="B25" s="66" t="s">
        <v>146</v>
      </c>
      <c r="C25" s="74" t="s">
        <v>147</v>
      </c>
      <c r="D25" s="66" t="s">
        <v>157</v>
      </c>
      <c r="E25" s="69" t="s">
        <v>61</v>
      </c>
    </row>
    <row r="26" spans="1:5" ht="24" customHeight="1">
      <c r="A26" s="65" t="s">
        <v>152</v>
      </c>
      <c r="B26" s="73" t="s">
        <v>148</v>
      </c>
      <c r="C26" s="74" t="s">
        <v>149</v>
      </c>
      <c r="D26" s="66" t="s">
        <v>158</v>
      </c>
      <c r="E26" s="69" t="s">
        <v>61</v>
      </c>
    </row>
    <row r="27" spans="1:5" ht="24" customHeight="1">
      <c r="A27" s="65" t="s">
        <v>153</v>
      </c>
      <c r="B27" s="73" t="s">
        <v>140</v>
      </c>
      <c r="C27" s="74" t="s">
        <v>141</v>
      </c>
      <c r="D27" s="66" t="s">
        <v>159</v>
      </c>
      <c r="E27" s="69" t="s">
        <v>61</v>
      </c>
    </row>
    <row r="28" spans="1:5" ht="24" customHeight="1">
      <c r="A28" s="65" t="s">
        <v>154</v>
      </c>
      <c r="B28" s="73" t="s">
        <v>150</v>
      </c>
      <c r="C28" s="74" t="s">
        <v>151</v>
      </c>
      <c r="D28" s="66" t="s">
        <v>160</v>
      </c>
      <c r="E28" s="69" t="s">
        <v>51</v>
      </c>
    </row>
    <row r="29" spans="1:5" ht="24" customHeight="1">
      <c r="A29" s="65" t="s">
        <v>155</v>
      </c>
      <c r="B29" s="73" t="s">
        <v>136</v>
      </c>
      <c r="C29" s="74" t="s">
        <v>137</v>
      </c>
      <c r="D29" s="66" t="s">
        <v>161</v>
      </c>
      <c r="E29" s="69" t="s">
        <v>162</v>
      </c>
    </row>
    <row r="30" spans="1:5" ht="24" customHeight="1">
      <c r="A30" s="65"/>
      <c r="B30" s="73"/>
      <c r="C30" s="113"/>
      <c r="D30" s="68"/>
      <c r="E30" s="114"/>
    </row>
    <row r="31" spans="1:5" ht="24" customHeight="1">
      <c r="A31" s="65"/>
      <c r="B31" s="73"/>
      <c r="C31" s="74"/>
      <c r="D31" s="66"/>
      <c r="E31" s="69"/>
    </row>
    <row r="32" spans="1:5">
      <c r="A32" s="81"/>
    </row>
    <row r="33" spans="1:1">
      <c r="A33" s="81"/>
    </row>
    <row r="34" spans="1:1">
      <c r="A34" s="81"/>
    </row>
  </sheetData>
  <mergeCells count="1">
    <mergeCell ref="A1:E1"/>
  </mergeCells>
  <phoneticPr fontId="21" type="noConversion"/>
  <conditionalFormatting sqref="B3">
    <cfRule type="duplicateValues" dxfId="6" priority="10"/>
  </conditionalFormatting>
  <conditionalFormatting sqref="B32:B1048576 B1:B2">
    <cfRule type="duplicateValues" dxfId="5" priority="8"/>
  </conditionalFormatting>
  <conditionalFormatting sqref="C3">
    <cfRule type="duplicateValues" dxfId="4" priority="12"/>
  </conditionalFormatting>
  <conditionalFormatting sqref="C32:C1048576 C1:C2">
    <cfRule type="duplicateValues" dxfId="3" priority="7"/>
  </conditionalFormatting>
  <conditionalFormatting sqref="B30">
    <cfRule type="duplicateValues" dxfId="2" priority="2"/>
  </conditionalFormatting>
  <conditionalFormatting sqref="C3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Lương 500</vt:lpstr>
      <vt:lpstr>Lương 520</vt:lpstr>
      <vt:lpstr>Lương 700</vt:lpstr>
      <vt:lpstr>Lương 750</vt:lpstr>
      <vt:lpstr>Lương 800</vt:lpstr>
      <vt:lpstr>Lương 900</vt:lpstr>
      <vt:lpstr>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Dat Pham Tien</cp:lastModifiedBy>
  <cp:lastPrinted>2023-07-06T10:05:33Z</cp:lastPrinted>
  <dcterms:created xsi:type="dcterms:W3CDTF">2019-01-05T09:11:00Z</dcterms:created>
  <dcterms:modified xsi:type="dcterms:W3CDTF">2026-08-28T13:51:59Z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  <property fmtid="{D5CDD505-2E9C-101B-9397-08002B2CF9AE}" pid="3" name="KSOReadingLayout">
    <vt:bool>false</vt:bool>
  </property>
</Properties>
</file>