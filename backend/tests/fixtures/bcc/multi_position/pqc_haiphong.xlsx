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ƯỜNG NGUYỄN\DỰ ÁN PQC\BCC  PQC\BCC 2026\BẢNG CHẤM CÔNG_PQC_HẢI PHÒNG\BẢNG CHẤM CÔNG THÁNG 08.2026\"/>
    </mc:Choice>
  </mc:AlternateContent>
  <xr:revisionPtr revIDLastSave="0" documentId="13_ncr:1_{DAFAB1FF-F507-4872-8B89-22F7CDEC41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ó tay nghề" sheetId="5" r:id="rId1"/>
    <sheet name="Không có tay nghề" sheetId="8" r:id="rId2"/>
    <sheet name="Stk" sheetId="6" r:id="rId3"/>
    <sheet name="Hỗ trợ khác" sheetId="4" state="hidden" r:id="rId4"/>
  </sheets>
  <definedNames>
    <definedName name="_xlnm._FilterDatabase" localSheetId="0" hidden="1">'Có tay nghề'!$A$6:$BG$6</definedName>
    <definedName name="_xlnm._FilterDatabase" localSheetId="1" hidden="1">'Không có tay nghề'!$A$6:$BF$11</definedName>
    <definedName name="_xlnm._FilterDatabase" localSheetId="2" hidden="1">Stk!$A$2:$F$21</definedName>
    <definedName name="_xlnm.Print_Area" localSheetId="0">'Có tay nghề'!$A$1:$AH$34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4" i="5" l="1"/>
  <c r="AB24" i="5"/>
  <c r="AC24" i="5"/>
  <c r="AD24" i="5"/>
  <c r="AE24" i="5"/>
  <c r="AF24" i="5"/>
  <c r="AK19" i="5" l="1"/>
  <c r="AL19" i="5"/>
  <c r="AM19" i="5"/>
  <c r="S24" i="5"/>
  <c r="T24" i="5"/>
  <c r="U24" i="5"/>
  <c r="V24" i="5"/>
  <c r="W24" i="5"/>
  <c r="X24" i="5"/>
  <c r="Y24" i="5"/>
  <c r="Z24" i="5"/>
  <c r="AK20" i="5" l="1"/>
  <c r="AL20" i="5"/>
  <c r="AM20" i="5"/>
  <c r="AK21" i="5"/>
  <c r="AL21" i="5"/>
  <c r="AM21" i="5"/>
  <c r="AK22" i="5"/>
  <c r="AL22" i="5"/>
  <c r="AM22" i="5"/>
  <c r="AK23" i="5"/>
  <c r="AL23" i="5"/>
  <c r="AM23" i="5"/>
  <c r="AF9" i="8"/>
  <c r="AG9" i="8"/>
  <c r="AH9" i="8"/>
  <c r="AG7" i="5"/>
  <c r="AH7" i="5"/>
  <c r="AI7" i="5"/>
  <c r="AG8" i="5"/>
  <c r="AH8" i="5"/>
  <c r="AI8" i="5"/>
  <c r="AG9" i="5"/>
  <c r="AH9" i="5"/>
  <c r="AI9" i="5"/>
  <c r="AG10" i="5"/>
  <c r="AH10" i="5"/>
  <c r="AI10" i="5"/>
  <c r="AG11" i="5"/>
  <c r="AH11" i="5"/>
  <c r="AI11" i="5"/>
  <c r="AG12" i="5"/>
  <c r="AH12" i="5"/>
  <c r="AI12" i="5"/>
  <c r="AG13" i="5"/>
  <c r="AH13" i="5"/>
  <c r="AI13" i="5"/>
  <c r="AG14" i="5"/>
  <c r="AH14" i="5"/>
  <c r="AI14" i="5"/>
  <c r="AG15" i="5"/>
  <c r="AH15" i="5"/>
  <c r="AI15" i="5"/>
  <c r="AG16" i="5"/>
  <c r="AH16" i="5"/>
  <c r="AI16" i="5"/>
  <c r="AJ24" i="5"/>
  <c r="R11" i="8"/>
  <c r="AK17" i="5"/>
  <c r="AL17" i="5"/>
  <c r="AM17" i="5"/>
  <c r="AK18" i="5"/>
  <c r="AL18" i="5"/>
  <c r="AM18" i="5"/>
  <c r="AG24" i="5" l="1"/>
  <c r="AI24" i="5"/>
  <c r="AH24" i="5"/>
  <c r="AI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O11" i="8"/>
  <c r="N11" i="8"/>
  <c r="M11" i="8"/>
  <c r="L11" i="8"/>
  <c r="K11" i="8"/>
  <c r="J11" i="8"/>
  <c r="I11" i="8"/>
  <c r="H11" i="8"/>
  <c r="G11" i="8"/>
  <c r="F11" i="8"/>
  <c r="AL10" i="8"/>
  <c r="AK10" i="8"/>
  <c r="AJ10" i="8"/>
  <c r="AH10" i="8"/>
  <c r="AG10" i="8"/>
  <c r="AF10" i="8"/>
  <c r="AL8" i="8"/>
  <c r="AK8" i="8"/>
  <c r="AJ8" i="8"/>
  <c r="AH8" i="8"/>
  <c r="AG8" i="8"/>
  <c r="AF8" i="8"/>
  <c r="AL7" i="8"/>
  <c r="AK7" i="8"/>
  <c r="AJ7" i="8"/>
  <c r="AH7" i="8"/>
  <c r="AG7" i="8"/>
  <c r="AF7" i="8"/>
  <c r="L24" i="5"/>
  <c r="M24" i="5"/>
  <c r="N24" i="5"/>
  <c r="O24" i="5"/>
  <c r="P24" i="5"/>
  <c r="AJ11" i="8" l="1"/>
  <c r="AK11" i="8"/>
  <c r="AG11" i="8"/>
  <c r="AL11" i="8"/>
  <c r="AH11" i="8"/>
  <c r="AF11" i="8"/>
  <c r="I24" i="5"/>
  <c r="J24" i="5"/>
  <c r="K24" i="5"/>
  <c r="AK7" i="5"/>
  <c r="AL7" i="5"/>
  <c r="AM7" i="5"/>
  <c r="AK8" i="5"/>
  <c r="AL8" i="5"/>
  <c r="AM8" i="5"/>
  <c r="AK9" i="5"/>
  <c r="AL9" i="5"/>
  <c r="AM9" i="5"/>
  <c r="AK10" i="5"/>
  <c r="AL10" i="5"/>
  <c r="AM10" i="5"/>
  <c r="AK11" i="5"/>
  <c r="AL11" i="5"/>
  <c r="AM11" i="5"/>
  <c r="AK12" i="5"/>
  <c r="AL12" i="5"/>
  <c r="AM12" i="5"/>
  <c r="AK13" i="5"/>
  <c r="AL13" i="5"/>
  <c r="AM13" i="5"/>
  <c r="AK14" i="5"/>
  <c r="AL14" i="5"/>
  <c r="AM14" i="5"/>
  <c r="AK15" i="5"/>
  <c r="AL15" i="5"/>
  <c r="AM15" i="5"/>
  <c r="AK16" i="5"/>
  <c r="AL16" i="5"/>
  <c r="AM16" i="5"/>
  <c r="AL24" i="5" l="1"/>
  <c r="AK24" i="5"/>
  <c r="G24" i="5"/>
  <c r="H24" i="5"/>
  <c r="AM24" i="5" l="1"/>
  <c r="D11" i="4" l="1"/>
</calcChain>
</file>

<file path=xl/sharedStrings.xml><?xml version="1.0" encoding="utf-8"?>
<sst xmlns="http://schemas.openxmlformats.org/spreadsheetml/2006/main" count="318" uniqueCount="126">
  <si>
    <t xml:space="preserve">CÔNG TY CỔ PHẦN QUỐC TẾ THƯƠNG MẠI VÀ DỊCH VỤ VIỆT PHÁP </t>
  </si>
  <si>
    <t>MST: 0201307104</t>
  </si>
  <si>
    <t>Tổng cộng</t>
  </si>
  <si>
    <t>Công ty Cổ phần Quốc tế Thương mại và Dịch vụ Việt Pháp</t>
  </si>
  <si>
    <t>STT</t>
  </si>
  <si>
    <t>Họ và tên</t>
  </si>
  <si>
    <t>Mã nhân viên</t>
  </si>
  <si>
    <t>OT</t>
  </si>
  <si>
    <t>CN</t>
  </si>
  <si>
    <t>Nguyễn Thị Minh Phương</t>
  </si>
  <si>
    <t>Trần Thị Hiền</t>
  </si>
  <si>
    <t>Nhân viên</t>
  </si>
  <si>
    <t>BẢNG KÊ CHI TIẾT PHÍ HỖ TRỢ TEST COVID</t>
  </si>
  <si>
    <t>Ngày test</t>
  </si>
  <si>
    <t xml:space="preserve">Phí test </t>
  </si>
  <si>
    <t>Ninh Văn Thắng</t>
  </si>
  <si>
    <t>Ghi chú</t>
  </si>
  <si>
    <t>Người lập biểu</t>
  </si>
  <si>
    <t>Nguyễn Văn Cường</t>
  </si>
  <si>
    <t>Maple</t>
  </si>
  <si>
    <t>Nhà máy</t>
  </si>
  <si>
    <t>Có tay nghề</t>
  </si>
  <si>
    <t>Lễ Tết</t>
  </si>
  <si>
    <t>Tổng hợp CN có tay nghề</t>
  </si>
  <si>
    <t>Tổng hợp CN không có tay nghề</t>
  </si>
  <si>
    <t>(Ký, Họ tên)</t>
  </si>
  <si>
    <t>CB</t>
  </si>
  <si>
    <t>SỐ TÀI KHOẢN DỰ ÁN PQC</t>
  </si>
  <si>
    <t>Stt</t>
  </si>
  <si>
    <t>ID</t>
  </si>
  <si>
    <t>Tên</t>
  </si>
  <si>
    <t>Ngân Hàng</t>
  </si>
  <si>
    <t>Cty làm việc</t>
  </si>
  <si>
    <t>MSB</t>
  </si>
  <si>
    <t>Không có tay nghề</t>
  </si>
  <si>
    <t>01</t>
  </si>
  <si>
    <t>03</t>
  </si>
  <si>
    <t>02</t>
  </si>
  <si>
    <t>10</t>
  </si>
  <si>
    <t>11</t>
  </si>
  <si>
    <t>12</t>
  </si>
  <si>
    <t>04</t>
  </si>
  <si>
    <t>05</t>
  </si>
  <si>
    <t>06</t>
  </si>
  <si>
    <t>07</t>
  </si>
  <si>
    <t>08</t>
  </si>
  <si>
    <t>09</t>
  </si>
  <si>
    <t>031190010799</t>
  </si>
  <si>
    <t>Phạm Thị Huệ</t>
  </si>
  <si>
    <t>19023465392011</t>
  </si>
  <si>
    <t>13</t>
  </si>
  <si>
    <t>14</t>
  </si>
  <si>
    <t>Ngày nghỉ</t>
  </si>
  <si>
    <t xml:space="preserve">Phạm Thị Huệ </t>
  </si>
  <si>
    <t>MB</t>
  </si>
  <si>
    <t>Nguyễn Thị Loan</t>
  </si>
  <si>
    <t>037304001514</t>
  </si>
  <si>
    <t>0100190076868</t>
  </si>
  <si>
    <t>Vũ Thị Hường</t>
  </si>
  <si>
    <t>001185012642</t>
  </si>
  <si>
    <t>VCB</t>
  </si>
  <si>
    <t>0368707889</t>
  </si>
  <si>
    <t/>
  </si>
  <si>
    <t>031303012155</t>
  </si>
  <si>
    <t>Vũ Thị Huyền Trang</t>
  </si>
  <si>
    <t>031192020913</t>
  </si>
  <si>
    <t>Huỳnh Thị Thu Hoa</t>
  </si>
  <si>
    <t>031199003245</t>
  </si>
  <si>
    <t>Bùi Thị Nga</t>
  </si>
  <si>
    <t>030185019027</t>
  </si>
  <si>
    <t>Đào Thị Miền</t>
  </si>
  <si>
    <t>031306002190</t>
  </si>
  <si>
    <t>Lê Thị Hằng</t>
  </si>
  <si>
    <t>031196016335</t>
  </si>
  <si>
    <t>Nguyễn Vân Anh</t>
  </si>
  <si>
    <t>031192012962</t>
  </si>
  <si>
    <t>Bùi Thị Phượng</t>
  </si>
  <si>
    <t>031185003176</t>
  </si>
  <si>
    <t>Nguyễn Thị Thủy</t>
  </si>
  <si>
    <t>031193008655</t>
  </si>
  <si>
    <t>Nguyễn Thị Thư</t>
  </si>
  <si>
    <t>031195003804</t>
  </si>
  <si>
    <t>Bùi Thị Thắm</t>
  </si>
  <si>
    <t>031197007235</t>
  </si>
  <si>
    <t>Đỗ Thị Quỳnh Giang</t>
  </si>
  <si>
    <t>15</t>
  </si>
  <si>
    <t>16</t>
  </si>
  <si>
    <t>17</t>
  </si>
  <si>
    <t>24</t>
  </si>
  <si>
    <t>1994301094</t>
  </si>
  <si>
    <t>0867759258</t>
  </si>
  <si>
    <t>0936572416</t>
  </si>
  <si>
    <t>0001397190150</t>
  </si>
  <si>
    <t>0772254475</t>
  </si>
  <si>
    <t>02101013810098</t>
  </si>
  <si>
    <t>0968236294</t>
  </si>
  <si>
    <t>0387441855</t>
  </si>
  <si>
    <t>0936661482</t>
  </si>
  <si>
    <t>0352554882</t>
  </si>
  <si>
    <t>0789244346</t>
  </si>
  <si>
    <t>031198007385</t>
  </si>
  <si>
    <t>Lưu Tuyết Nhung</t>
  </si>
  <si>
    <t>031186000750</t>
  </si>
  <si>
    <t>Vũ Thị Hằng</t>
  </si>
  <si>
    <t>28</t>
  </si>
  <si>
    <t>32</t>
  </si>
  <si>
    <t>35</t>
  </si>
  <si>
    <t>0031000222176</t>
  </si>
  <si>
    <t xml:space="preserve">STK </t>
  </si>
  <si>
    <t>362708082</t>
  </si>
  <si>
    <t>VIB</t>
  </si>
  <si>
    <t>031308009246</t>
  </si>
  <si>
    <t>Lê Thị Hồng Nhung</t>
  </si>
  <si>
    <t>031308015851</t>
  </si>
  <si>
    <t>Nguyễn Thùy Linh</t>
  </si>
  <si>
    <t>0328232483</t>
  </si>
  <si>
    <t>55527082008</t>
  </si>
  <si>
    <t>LƯƠNG TUẦN DỰ ÁN PQC HẢI PHÒNG</t>
  </si>
  <si>
    <t>SDT</t>
  </si>
  <si>
    <t>1</t>
  </si>
  <si>
    <t>2</t>
  </si>
  <si>
    <t>jasan</t>
  </si>
  <si>
    <t>Techcombank</t>
  </si>
  <si>
    <t>Trịnh Thanh Thúy</t>
  </si>
  <si>
    <t>031304013018</t>
  </si>
  <si>
    <t>888809022004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</si>
</sst>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64" formatCode="_-* #,##0.00\ _₫_-;\-* #,##0.00\ _₫_-;_-* &quot;-&quot;??\ _₫_-;_-@_-"/>
    <numFmt numFmtId="165" formatCode="_ * #,##0.00_ ;_ * \-#,##0.00_ ;_ * &quot;-&quot;??_ ;_ @_ "/>
    <numFmt numFmtId="166" formatCode="_(* #,##0_);_(* \(#,##0\);_(* &quot;-&quot;??_);_(@_)"/>
    <numFmt numFmtId="167" formatCode="[$-F800]dddd\,\ mmmm\ dd\,\ yyyy"/>
    <numFmt numFmtId="168" formatCode="_-* #,##0\ _₫_-;\-* #,##0\ _₫_-;_-* &quot;-&quot;??\ _₫_-;_-@_-"/>
    <numFmt numFmtId="169" formatCode="0.0%"/>
    <numFmt numFmtId="170" formatCode="_-* #,##0.0_-;\-* #,##0.0_-;_-* &quot;-&quot;??_-;_-@_-"/>
    <numFmt numFmtId="171" formatCode="_ * #,##0.0_ ;_ * \-#,##0.0_ ;_ * &quot;-&quot;??_ ;_ @_ "/>
    <numFmt numFmtId="172" formatCode="_-* #,##0_-;\-* #,##0_-;_-* &quot;-&quot;??_-;_-@_-"/>
  </numFmts>
  <fonts count="39">
    <font>
      <sz val="11"/>
      <color rgb="FF000000"/>
      <name val="Arial"/>
      <charset val="134"/>
    </font>
    <font>
      <b/>
      <sz val="11"/>
      <name val="Tahoma"/>
      <family val="2"/>
    </font>
    <font>
      <b/>
      <sz val="10"/>
      <color theme="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b/>
      <sz val="16"/>
      <name val="Tahoma"/>
      <family val="2"/>
    </font>
    <font>
      <i/>
      <sz val="11"/>
      <name val="Tahoma"/>
      <family val="2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b/>
      <sz val="12"/>
      <name val="Tahoma"/>
      <family val="2"/>
    </font>
    <font>
      <b/>
      <i/>
      <sz val="11"/>
      <name val="Tahoma"/>
      <family val="2"/>
    </font>
    <font>
      <b/>
      <sz val="9"/>
      <color theme="1"/>
      <name val="Tahoma"/>
      <family val="2"/>
    </font>
    <font>
      <sz val="18"/>
      <color rgb="FF000000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8"/>
      <color rgb="FF000000"/>
      <name val="Times New Roman"/>
      <family val="1"/>
    </font>
    <font>
      <b/>
      <i/>
      <sz val="18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i/>
      <sz val="18"/>
      <color rgb="FF000000"/>
      <name val="Times New Roman"/>
      <family val="1"/>
    </font>
    <font>
      <i/>
      <sz val="18"/>
      <color rgb="FF000000"/>
      <name val="Times New Roman"/>
      <family val="1"/>
    </font>
    <font>
      <sz val="8"/>
      <name val="Arial"/>
      <family val="2"/>
    </font>
    <font>
      <sz val="11"/>
      <color theme="1"/>
      <name val="Times New Roman"/>
      <family val="1"/>
    </font>
    <font>
      <b/>
      <sz val="36"/>
      <name val="Times New Roman"/>
      <family val="1"/>
    </font>
    <font>
      <b/>
      <sz val="24"/>
      <color rgb="FF000000"/>
      <name val="Times New Roman"/>
      <family val="1"/>
    </font>
    <font>
      <sz val="18"/>
      <color rgb="FF000000"/>
      <name val="Tahoma"/>
      <family val="2"/>
    </font>
    <font>
      <sz val="11"/>
      <color rgb="FF000000"/>
      <name val="Arial"/>
      <family val="2"/>
    </font>
    <font>
      <b/>
      <sz val="16"/>
      <color rgb="FF000000"/>
      <name val="Times New Roman"/>
      <family val="1"/>
    </font>
    <font>
      <sz val="8"/>
      <name val="Arial"/>
      <family val="2"/>
    </font>
    <font>
      <sz val="16"/>
      <color rgb="FF000000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i/>
      <sz val="16"/>
      <name val="Times New Roman"/>
      <family val="1"/>
    </font>
    <font>
      <b/>
      <i/>
      <sz val="16"/>
      <color rgb="FF000000"/>
      <name val="Times New Roman"/>
      <family val="1"/>
    </font>
    <font>
      <i/>
      <sz val="16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rgb="FFD8D8D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2">
    <xf numFmtId="0" fontId="0" fillId="0" borderId="0"/>
    <xf numFmtId="165" fontId="8" fillId="0" borderId="0" applyFont="0" applyFill="0" applyBorder="0" applyAlignment="0" applyProtection="0">
      <alignment vertical="center"/>
    </xf>
    <xf numFmtId="167" fontId="7" fillId="0" borderId="0" applyFont="0" applyFill="0" applyBorder="0" applyAlignment="0" applyProtection="0">
      <alignment vertical="center"/>
    </xf>
    <xf numFmtId="0" fontId="9" fillId="0" borderId="0"/>
    <xf numFmtId="0" fontId="8" fillId="0" borderId="0"/>
    <xf numFmtId="164" fontId="10" fillId="0" borderId="0" applyFont="0" applyFill="0" applyBorder="0" applyAlignment="0" applyProtection="0"/>
    <xf numFmtId="167" fontId="7" fillId="0" borderId="0" applyFont="0" applyFill="0" applyBorder="0" applyAlignment="0" applyProtection="0">
      <alignment vertical="center"/>
    </xf>
    <xf numFmtId="0" fontId="7" fillId="0" borderId="0"/>
    <xf numFmtId="0" fontId="10" fillId="0" borderId="0"/>
    <xf numFmtId="0" fontId="11" fillId="0" borderId="0"/>
    <xf numFmtId="41" fontId="30" fillId="0" borderId="0" applyFont="0" applyFill="0" applyBorder="0" applyAlignment="0" applyProtection="0"/>
    <xf numFmtId="41" fontId="11" fillId="0" borderId="0" applyFont="0" applyFill="0" applyBorder="0" applyAlignment="0" applyProtection="0"/>
  </cellStyleXfs>
  <cellXfs count="171"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/>
    <xf numFmtId="0" fontId="5" fillId="0" borderId="0" xfId="7" applyFont="1" applyAlignment="1">
      <alignment horizontal="center" vertical="center"/>
    </xf>
    <xf numFmtId="168" fontId="13" fillId="6" borderId="1" xfId="1" applyNumberFormat="1" applyFont="1" applyFill="1" applyBorder="1" applyAlignment="1">
      <alignment vertical="center"/>
    </xf>
    <xf numFmtId="166" fontId="1" fillId="2" borderId="1" xfId="6" applyNumberFormat="1" applyFont="1" applyFill="1" applyBorder="1" applyAlignment="1">
      <alignment horizontal="center" vertical="center" wrapText="1"/>
    </xf>
    <xf numFmtId="166" fontId="6" fillId="0" borderId="1" xfId="6" applyNumberFormat="1" applyFont="1" applyBorder="1" applyAlignment="1">
      <alignment vertical="center" wrapText="1"/>
    </xf>
    <xf numFmtId="166" fontId="4" fillId="0" borderId="1" xfId="6" applyNumberFormat="1" applyFont="1" applyBorder="1" applyAlignment="1">
      <alignment vertical="center" wrapText="1"/>
    </xf>
    <xf numFmtId="169" fontId="1" fillId="6" borderId="3" xfId="3" applyNumberFormat="1" applyFont="1" applyFill="1" applyBorder="1" applyAlignment="1">
      <alignment vertical="center"/>
    </xf>
    <xf numFmtId="0" fontId="14" fillId="0" borderId="0" xfId="0" applyFont="1"/>
    <xf numFmtId="14" fontId="4" fillId="0" borderId="1" xfId="6" applyNumberFormat="1" applyFont="1" applyBorder="1" applyAlignment="1">
      <alignment horizontal="center" vertical="center" wrapText="1"/>
    </xf>
    <xf numFmtId="0" fontId="15" fillId="3" borderId="0" xfId="0" applyFont="1" applyFill="1" applyAlignment="1">
      <alignment horizontal="left" vertical="center"/>
    </xf>
    <xf numFmtId="0" fontId="17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49" fontId="16" fillId="3" borderId="2" xfId="0" applyNumberFormat="1" applyFont="1" applyFill="1" applyBorder="1" applyAlignment="1">
      <alignment horizontal="center" vertical="center"/>
    </xf>
    <xf numFmtId="49" fontId="16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center" vertical="center" wrapText="1"/>
    </xf>
    <xf numFmtId="170" fontId="18" fillId="5" borderId="1" xfId="1" applyNumberFormat="1" applyFont="1" applyFill="1" applyBorder="1" applyAlignment="1">
      <alignment horizontal="center" vertical="center" wrapText="1"/>
    </xf>
    <xf numFmtId="170" fontId="18" fillId="5" borderId="1" xfId="1" applyNumberFormat="1" applyFont="1" applyFill="1" applyBorder="1" applyAlignment="1">
      <alignment vertical="center" wrapText="1"/>
    </xf>
    <xf numFmtId="0" fontId="17" fillId="4" borderId="1" xfId="0" applyFont="1" applyFill="1" applyBorder="1" applyAlignment="1">
      <alignment horizontal="center" vertical="center"/>
    </xf>
    <xf numFmtId="170" fontId="18" fillId="3" borderId="1" xfId="1" applyNumberFormat="1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center" vertical="center"/>
    </xf>
    <xf numFmtId="170" fontId="18" fillId="3" borderId="0" xfId="1" applyNumberFormat="1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/>
    </xf>
    <xf numFmtId="0" fontId="19" fillId="4" borderId="0" xfId="0" applyFont="1" applyFill="1" applyAlignment="1">
      <alignment horizontal="left"/>
    </xf>
    <xf numFmtId="49" fontId="15" fillId="3" borderId="0" xfId="0" applyNumberFormat="1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/>
    </xf>
    <xf numFmtId="170" fontId="23" fillId="3" borderId="0" xfId="1" applyNumberFormat="1" applyFont="1" applyFill="1" applyBorder="1" applyAlignment="1">
      <alignment horizontal="center"/>
    </xf>
    <xf numFmtId="0" fontId="24" fillId="3" borderId="0" xfId="0" applyFont="1" applyFill="1"/>
    <xf numFmtId="0" fontId="16" fillId="3" borderId="0" xfId="0" applyFont="1" applyFill="1" applyAlignment="1">
      <alignment horizontal="center" vertical="center"/>
    </xf>
    <xf numFmtId="0" fontId="18" fillId="7" borderId="1" xfId="0" applyFont="1" applyFill="1" applyBorder="1" applyAlignment="1">
      <alignment vertical="center" wrapText="1"/>
    </xf>
    <xf numFmtId="171" fontId="15" fillId="3" borderId="1" xfId="1" applyNumberFormat="1" applyFont="1" applyFill="1" applyBorder="1" applyAlignment="1">
      <alignment vertical="center" wrapText="1"/>
    </xf>
    <xf numFmtId="171" fontId="15" fillId="2" borderId="1" xfId="1" applyNumberFormat="1" applyFont="1" applyFill="1" applyBorder="1" applyAlignment="1">
      <alignment vertical="center" wrapText="1"/>
    </xf>
    <xf numFmtId="0" fontId="18" fillId="3" borderId="1" xfId="0" applyFont="1" applyFill="1" applyBorder="1" applyAlignment="1">
      <alignment vertical="center"/>
    </xf>
    <xf numFmtId="0" fontId="23" fillId="3" borderId="0" xfId="0" applyFont="1" applyFill="1"/>
    <xf numFmtId="49" fontId="17" fillId="4" borderId="0" xfId="0" applyNumberFormat="1" applyFont="1" applyFill="1" applyAlignment="1">
      <alignment horizontal="center" vertical="center"/>
    </xf>
    <xf numFmtId="49" fontId="19" fillId="4" borderId="0" xfId="0" applyNumberFormat="1" applyFont="1" applyFill="1" applyAlignment="1">
      <alignment horizontal="center"/>
    </xf>
    <xf numFmtId="0" fontId="20" fillId="0" borderId="1" xfId="0" applyFont="1" applyBorder="1"/>
    <xf numFmtId="0" fontId="26" fillId="0" borderId="0" xfId="0" applyFont="1"/>
    <xf numFmtId="49" fontId="21" fillId="9" borderId="1" xfId="0" applyNumberFormat="1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49" fontId="26" fillId="0" borderId="1" xfId="0" applyNumberFormat="1" applyFont="1" applyBorder="1" applyAlignment="1">
      <alignment horizontal="center"/>
    </xf>
    <xf numFmtId="0" fontId="26" fillId="0" borderId="1" xfId="0" applyFont="1" applyBorder="1"/>
    <xf numFmtId="49" fontId="26" fillId="0" borderId="1" xfId="0" applyNumberFormat="1" applyFont="1" applyBorder="1"/>
    <xf numFmtId="0" fontId="20" fillId="0" borderId="1" xfId="0" applyFont="1" applyBorder="1" applyAlignment="1">
      <alignment horizontal="center"/>
    </xf>
    <xf numFmtId="49" fontId="26" fillId="0" borderId="0" xfId="0" applyNumberFormat="1" applyFont="1"/>
    <xf numFmtId="0" fontId="20" fillId="0" borderId="0" xfId="0" applyFont="1"/>
    <xf numFmtId="172" fontId="18" fillId="5" borderId="1" xfId="1" applyNumberFormat="1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vertical="center" wrapText="1"/>
    </xf>
    <xf numFmtId="0" fontId="28" fillId="4" borderId="0" xfId="0" applyFont="1" applyFill="1" applyAlignment="1">
      <alignment vertical="center"/>
    </xf>
    <xf numFmtId="0" fontId="28" fillId="3" borderId="0" xfId="0" applyFont="1" applyFill="1" applyAlignment="1">
      <alignment vertical="center"/>
    </xf>
    <xf numFmtId="49" fontId="18" fillId="3" borderId="0" xfId="0" applyNumberFormat="1" applyFont="1" applyFill="1" applyAlignment="1">
      <alignment horizontal="center" wrapText="1"/>
    </xf>
    <xf numFmtId="49" fontId="15" fillId="3" borderId="0" xfId="0" applyNumberFormat="1" applyFont="1" applyFill="1"/>
    <xf numFmtId="49" fontId="17" fillId="3" borderId="0" xfId="0" applyNumberFormat="1" applyFont="1" applyFill="1" applyAlignment="1">
      <alignment horizontal="center" wrapText="1"/>
    </xf>
    <xf numFmtId="49" fontId="19" fillId="3" borderId="0" xfId="0" applyNumberFormat="1" applyFont="1" applyFill="1" applyAlignment="1">
      <alignment horizontal="center" wrapText="1"/>
    </xf>
    <xf numFmtId="14" fontId="28" fillId="4" borderId="0" xfId="0" applyNumberFormat="1" applyFont="1" applyFill="1" applyAlignment="1">
      <alignment vertical="center"/>
    </xf>
    <xf numFmtId="14" fontId="16" fillId="4" borderId="1" xfId="0" applyNumberFormat="1" applyFont="1" applyFill="1" applyBorder="1" applyAlignment="1">
      <alignment horizontal="center" vertical="center" wrapText="1"/>
    </xf>
    <xf numFmtId="14" fontId="17" fillId="4" borderId="1" xfId="0" applyNumberFormat="1" applyFont="1" applyFill="1" applyBorder="1" applyAlignment="1">
      <alignment horizontal="center" vertical="center"/>
    </xf>
    <xf numFmtId="14" fontId="17" fillId="4" borderId="0" xfId="0" applyNumberFormat="1" applyFont="1" applyFill="1" applyAlignment="1">
      <alignment horizontal="center" vertical="center"/>
    </xf>
    <xf numFmtId="14" fontId="15" fillId="3" borderId="0" xfId="0" applyNumberFormat="1" applyFont="1" applyFill="1" applyAlignment="1">
      <alignment vertical="center"/>
    </xf>
    <xf numFmtId="14" fontId="19" fillId="4" borderId="0" xfId="0" applyNumberFormat="1" applyFont="1" applyFill="1" applyAlignment="1">
      <alignment horizontal="center"/>
    </xf>
    <xf numFmtId="171" fontId="29" fillId="3" borderId="1" xfId="1" applyNumberFormat="1" applyFont="1" applyFill="1" applyBorder="1" applyAlignment="1">
      <alignment vertical="center" wrapText="1"/>
    </xf>
    <xf numFmtId="171" fontId="29" fillId="2" borderId="1" xfId="1" applyNumberFormat="1" applyFont="1" applyFill="1" applyBorder="1" applyAlignment="1">
      <alignment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41" fontId="18" fillId="7" borderId="1" xfId="10" applyFont="1" applyFill="1" applyBorder="1" applyAlignment="1">
      <alignment horizontal="center" vertical="center" wrapText="1"/>
    </xf>
    <xf numFmtId="49" fontId="31" fillId="3" borderId="0" xfId="0" applyNumberFormat="1" applyFont="1" applyFill="1" applyAlignment="1">
      <alignment horizontal="center" wrapText="1"/>
    </xf>
    <xf numFmtId="49" fontId="33" fillId="3" borderId="0" xfId="0" applyNumberFormat="1" applyFont="1" applyFill="1" applyAlignment="1">
      <alignment vertical="center"/>
    </xf>
    <xf numFmtId="0" fontId="33" fillId="3" borderId="0" xfId="0" applyFont="1" applyFill="1" applyAlignment="1">
      <alignment horizontal="left" vertical="center"/>
    </xf>
    <xf numFmtId="0" fontId="31" fillId="4" borderId="0" xfId="0" applyFont="1" applyFill="1" applyAlignment="1">
      <alignment vertical="center"/>
    </xf>
    <xf numFmtId="14" fontId="31" fillId="4" borderId="0" xfId="0" applyNumberFormat="1" applyFont="1" applyFill="1" applyAlignment="1">
      <alignment vertical="center"/>
    </xf>
    <xf numFmtId="0" fontId="31" fillId="3" borderId="0" xfId="0" applyFont="1" applyFill="1" applyAlignment="1">
      <alignment vertical="center"/>
    </xf>
    <xf numFmtId="0" fontId="31" fillId="3" borderId="0" xfId="0" applyFont="1" applyFill="1" applyAlignment="1">
      <alignment horizontal="center" vertical="center"/>
    </xf>
    <xf numFmtId="0" fontId="34" fillId="3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49" fontId="33" fillId="3" borderId="0" xfId="0" applyNumberFormat="1" applyFont="1" applyFill="1"/>
    <xf numFmtId="0" fontId="31" fillId="7" borderId="3" xfId="0" applyFont="1" applyFill="1" applyBorder="1" applyAlignment="1">
      <alignment horizontal="center" vertical="center" wrapText="1"/>
    </xf>
    <xf numFmtId="0" fontId="31" fillId="7" borderId="6" xfId="0" applyFont="1" applyFill="1" applyBorder="1" applyAlignment="1">
      <alignment horizontal="center" vertical="center" wrapText="1"/>
    </xf>
    <xf numFmtId="0" fontId="35" fillId="7" borderId="3" xfId="0" applyFont="1" applyFill="1" applyBorder="1" applyAlignment="1">
      <alignment horizontal="center" vertical="center" wrapText="1"/>
    </xf>
    <xf numFmtId="0" fontId="35" fillId="7" borderId="5" xfId="0" applyFont="1" applyFill="1" applyBorder="1" applyAlignment="1">
      <alignment horizontal="center" vertical="center" wrapText="1"/>
    </xf>
    <xf numFmtId="0" fontId="35" fillId="7" borderId="6" xfId="0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center" vertical="center" wrapText="1"/>
    </xf>
    <xf numFmtId="0" fontId="33" fillId="3" borderId="0" xfId="0" applyFont="1" applyFill="1" applyAlignment="1">
      <alignment horizontal="center" vertical="center"/>
    </xf>
    <xf numFmtId="41" fontId="31" fillId="7" borderId="1" xfId="1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vertical="center" wrapText="1"/>
    </xf>
    <xf numFmtId="0" fontId="31" fillId="7" borderId="1" xfId="0" applyFont="1" applyFill="1" applyBorder="1" applyAlignment="1">
      <alignment horizontal="center" vertical="center" wrapText="1"/>
    </xf>
    <xf numFmtId="49" fontId="34" fillId="3" borderId="2" xfId="0" applyNumberFormat="1" applyFont="1" applyFill="1" applyBorder="1" applyAlignment="1">
      <alignment horizontal="center" vertical="center"/>
    </xf>
    <xf numFmtId="49" fontId="34" fillId="3" borderId="1" xfId="0" applyNumberFormat="1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left" vertical="center"/>
    </xf>
    <xf numFmtId="0" fontId="34" fillId="4" borderId="1" xfId="0" applyFont="1" applyFill="1" applyBorder="1" applyAlignment="1">
      <alignment horizontal="center" vertical="center" wrapText="1"/>
    </xf>
    <xf numFmtId="14" fontId="34" fillId="4" borderId="1" xfId="0" applyNumberFormat="1" applyFont="1" applyFill="1" applyBorder="1" applyAlignment="1">
      <alignment horizontal="center" vertical="center" wrapText="1"/>
    </xf>
    <xf numFmtId="171" fontId="33" fillId="3" borderId="1" xfId="1" applyNumberFormat="1" applyFont="1" applyFill="1" applyBorder="1" applyAlignment="1">
      <alignment vertical="center" wrapText="1"/>
    </xf>
    <xf numFmtId="171" fontId="33" fillId="2" borderId="1" xfId="1" applyNumberFormat="1" applyFont="1" applyFill="1" applyBorder="1" applyAlignment="1">
      <alignment vertical="center" wrapText="1"/>
    </xf>
    <xf numFmtId="170" fontId="31" fillId="5" borderId="1" xfId="1" applyNumberFormat="1" applyFont="1" applyFill="1" applyBorder="1" applyAlignment="1">
      <alignment horizontal="center" vertical="center" wrapText="1"/>
    </xf>
    <xf numFmtId="170" fontId="31" fillId="5" borderId="1" xfId="1" applyNumberFormat="1" applyFont="1" applyFill="1" applyBorder="1" applyAlignment="1">
      <alignment vertical="center" wrapText="1"/>
    </xf>
    <xf numFmtId="172" fontId="31" fillId="5" borderId="1" xfId="1" applyNumberFormat="1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/>
    </xf>
    <xf numFmtId="14" fontId="35" fillId="4" borderId="1" xfId="0" applyNumberFormat="1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vertical="center"/>
    </xf>
    <xf numFmtId="170" fontId="31" fillId="3" borderId="1" xfId="1" applyNumberFormat="1" applyFont="1" applyFill="1" applyBorder="1" applyAlignment="1">
      <alignment horizontal="center" vertical="center"/>
    </xf>
    <xf numFmtId="49" fontId="35" fillId="3" borderId="0" xfId="0" applyNumberFormat="1" applyFont="1" applyFill="1" applyAlignment="1">
      <alignment horizontal="center" wrapText="1"/>
    </xf>
    <xf numFmtId="49" fontId="35" fillId="4" borderId="0" xfId="0" applyNumberFormat="1" applyFont="1" applyFill="1" applyAlignment="1">
      <alignment horizontal="center" vertical="center"/>
    </xf>
    <xf numFmtId="0" fontId="35" fillId="4" borderId="0" xfId="0" applyFont="1" applyFill="1" applyAlignment="1">
      <alignment horizontal="left" vertical="center"/>
    </xf>
    <xf numFmtId="0" fontId="35" fillId="4" borderId="0" xfId="0" applyFont="1" applyFill="1" applyAlignment="1">
      <alignment horizontal="center" vertical="center"/>
    </xf>
    <xf numFmtId="14" fontId="35" fillId="4" borderId="0" xfId="0" applyNumberFormat="1" applyFont="1" applyFill="1" applyAlignment="1">
      <alignment horizontal="center" vertical="center"/>
    </xf>
    <xf numFmtId="170" fontId="31" fillId="3" borderId="0" xfId="1" applyNumberFormat="1" applyFont="1" applyFill="1" applyBorder="1" applyAlignment="1">
      <alignment horizontal="center" vertical="center"/>
    </xf>
    <xf numFmtId="14" fontId="33" fillId="3" borderId="0" xfId="0" applyNumberFormat="1" applyFont="1" applyFill="1" applyAlignment="1">
      <alignment vertical="center"/>
    </xf>
    <xf numFmtId="49" fontId="36" fillId="3" borderId="0" xfId="0" applyNumberFormat="1" applyFont="1" applyFill="1" applyAlignment="1">
      <alignment horizontal="center" wrapText="1"/>
    </xf>
    <xf numFmtId="49" fontId="36" fillId="4" borderId="0" xfId="0" applyNumberFormat="1" applyFont="1" applyFill="1" applyAlignment="1">
      <alignment horizontal="center"/>
    </xf>
    <xf numFmtId="0" fontId="36" fillId="4" borderId="0" xfId="0" applyFont="1" applyFill="1" applyAlignment="1">
      <alignment horizontal="left"/>
    </xf>
    <xf numFmtId="0" fontId="36" fillId="4" borderId="0" xfId="0" applyFont="1" applyFill="1" applyAlignment="1">
      <alignment horizontal="center"/>
    </xf>
    <xf numFmtId="14" fontId="36" fillId="4" borderId="0" xfId="0" applyNumberFormat="1" applyFont="1" applyFill="1" applyAlignment="1">
      <alignment horizontal="center"/>
    </xf>
    <xf numFmtId="0" fontId="37" fillId="3" borderId="0" xfId="0" applyFont="1" applyFill="1"/>
    <xf numFmtId="170" fontId="37" fillId="3" borderId="0" xfId="1" applyNumberFormat="1" applyFont="1" applyFill="1" applyBorder="1" applyAlignment="1">
      <alignment horizontal="center"/>
    </xf>
    <xf numFmtId="0" fontId="38" fillId="3" borderId="0" xfId="0" applyFont="1" applyFill="1"/>
    <xf numFmtId="0" fontId="34" fillId="3" borderId="0" xfId="0" applyFont="1" applyFill="1" applyAlignment="1">
      <alignment horizontal="center" vertical="center"/>
    </xf>
    <xf numFmtId="0" fontId="26" fillId="0" borderId="0" xfId="0" quotePrefix="1" applyFont="1"/>
    <xf numFmtId="0" fontId="18" fillId="5" borderId="1" xfId="0" applyFont="1" applyFill="1" applyBorder="1" applyAlignment="1">
      <alignment vertical="center" wrapText="1"/>
    </xf>
    <xf numFmtId="0" fontId="35" fillId="4" borderId="1" xfId="0" applyFont="1" applyFill="1" applyBorder="1" applyAlignment="1">
      <alignment horizontal="center" vertical="center"/>
    </xf>
    <xf numFmtId="49" fontId="35" fillId="7" borderId="1" xfId="0" applyNumberFormat="1" applyFont="1" applyFill="1" applyBorder="1" applyAlignment="1">
      <alignment horizontal="center" vertical="center" wrapText="1"/>
    </xf>
    <xf numFmtId="49" fontId="35" fillId="8" borderId="1" xfId="0" applyNumberFormat="1" applyFont="1" applyFill="1" applyBorder="1" applyAlignment="1">
      <alignment vertical="center"/>
    </xf>
    <xf numFmtId="0" fontId="27" fillId="3" borderId="0" xfId="0" applyFont="1" applyFill="1" applyAlignment="1">
      <alignment horizontal="center"/>
    </xf>
    <xf numFmtId="0" fontId="31" fillId="7" borderId="3" xfId="0" applyFont="1" applyFill="1" applyBorder="1" applyAlignment="1">
      <alignment horizontal="center" vertical="center" wrapText="1"/>
    </xf>
    <xf numFmtId="0" fontId="31" fillId="7" borderId="6" xfId="0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left" vertical="center" wrapText="1"/>
    </xf>
    <xf numFmtId="0" fontId="35" fillId="8" borderId="1" xfId="0" applyFont="1" applyFill="1" applyBorder="1" applyAlignment="1">
      <alignment horizontal="left" vertical="center"/>
    </xf>
    <xf numFmtId="0" fontId="35" fillId="7" borderId="2" xfId="0" applyFont="1" applyFill="1" applyBorder="1" applyAlignment="1">
      <alignment horizontal="center" vertical="center" wrapText="1"/>
    </xf>
    <xf numFmtId="0" fontId="35" fillId="7" borderId="7" xfId="0" applyFont="1" applyFill="1" applyBorder="1" applyAlignment="1">
      <alignment horizontal="center" vertical="center" wrapText="1"/>
    </xf>
    <xf numFmtId="0" fontId="35" fillId="7" borderId="4" xfId="0" applyFont="1" applyFill="1" applyBorder="1" applyAlignment="1">
      <alignment horizontal="center" vertical="center" wrapText="1"/>
    </xf>
    <xf numFmtId="14" fontId="35" fillId="7" borderId="2" xfId="0" applyNumberFormat="1" applyFont="1" applyFill="1" applyBorder="1" applyAlignment="1">
      <alignment horizontal="center" vertical="center" wrapText="1"/>
    </xf>
    <xf numFmtId="14" fontId="35" fillId="7" borderId="7" xfId="0" applyNumberFormat="1" applyFont="1" applyFill="1" applyBorder="1" applyAlignment="1">
      <alignment horizontal="center" vertical="center" wrapText="1"/>
    </xf>
    <xf numFmtId="14" fontId="35" fillId="7" borderId="4" xfId="0" applyNumberFormat="1" applyFont="1" applyFill="1" applyBorder="1" applyAlignment="1">
      <alignment horizontal="center" vertical="center" wrapText="1"/>
    </xf>
    <xf numFmtId="0" fontId="35" fillId="7" borderId="3" xfId="0" applyFont="1" applyFill="1" applyBorder="1" applyAlignment="1">
      <alignment horizontal="center" vertical="center" wrapText="1"/>
    </xf>
    <xf numFmtId="0" fontId="35" fillId="7" borderId="5" xfId="0" applyFont="1" applyFill="1" applyBorder="1" applyAlignment="1">
      <alignment horizontal="center" vertical="center" wrapText="1"/>
    </xf>
    <xf numFmtId="0" fontId="35" fillId="7" borderId="6" xfId="0" applyFont="1" applyFill="1" applyBorder="1" applyAlignment="1">
      <alignment horizontal="center" vertical="center" wrapText="1"/>
    </xf>
    <xf numFmtId="41" fontId="31" fillId="7" borderId="3" xfId="10" applyFont="1" applyFill="1" applyBorder="1" applyAlignment="1">
      <alignment vertical="center" wrapText="1"/>
    </xf>
    <xf numFmtId="41" fontId="31" fillId="7" borderId="6" xfId="10" applyFont="1" applyFill="1" applyBorder="1" applyAlignment="1">
      <alignment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14" fontId="17" fillId="7" borderId="2" xfId="0" applyNumberFormat="1" applyFont="1" applyFill="1" applyBorder="1" applyAlignment="1">
      <alignment horizontal="center" vertical="center" wrapText="1"/>
    </xf>
    <xf numFmtId="14" fontId="17" fillId="7" borderId="7" xfId="0" applyNumberFormat="1" applyFont="1" applyFill="1" applyBorder="1" applyAlignment="1">
      <alignment horizontal="center" vertical="center" wrapText="1"/>
    </xf>
    <xf numFmtId="14" fontId="17" fillId="7" borderId="4" xfId="0" applyNumberFormat="1" applyFont="1" applyFill="1" applyBorder="1" applyAlignment="1">
      <alignment horizontal="center" vertical="center" wrapText="1"/>
    </xf>
    <xf numFmtId="49" fontId="17" fillId="7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49" fontId="17" fillId="8" borderId="1" xfId="0" applyNumberFormat="1" applyFont="1" applyFill="1" applyBorder="1" applyAlignment="1">
      <alignment vertical="center"/>
    </xf>
    <xf numFmtId="0" fontId="17" fillId="7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vertical="center"/>
    </xf>
    <xf numFmtId="41" fontId="18" fillId="7" borderId="3" xfId="10" applyFont="1" applyFill="1" applyBorder="1" applyAlignment="1">
      <alignment vertical="center" wrapText="1"/>
    </xf>
    <xf numFmtId="41" fontId="18" fillId="7" borderId="6" xfId="10" applyFont="1" applyFill="1" applyBorder="1" applyAlignment="1">
      <alignment vertical="center" wrapText="1"/>
    </xf>
    <xf numFmtId="0" fontId="22" fillId="0" borderId="1" xfId="0" applyFont="1" applyBorder="1" applyAlignment="1">
      <alignment horizontal="center"/>
    </xf>
    <xf numFmtId="0" fontId="12" fillId="0" borderId="0" xfId="7" applyFont="1" applyAlignment="1">
      <alignment horizontal="center" vertical="center"/>
    </xf>
  </cellXfs>
  <cellStyles count="12">
    <cellStyle name="Comma" xfId="1" builtinId="3"/>
    <cellStyle name="Comma [0]" xfId="10" builtinId="6"/>
    <cellStyle name="Comma [0] 2" xfId="11" xr:uid="{1713698E-49EF-4A13-B5B4-9925C0B6B8D1}"/>
    <cellStyle name="Comma 2" xfId="5" xr:uid="{00000000-0005-0000-0000-000001000000}"/>
    <cellStyle name="Comma 6" xfId="2" xr:uid="{00000000-0005-0000-0000-000002000000}"/>
    <cellStyle name="Comma 7" xfId="6" xr:uid="{00000000-0005-0000-0000-000003000000}"/>
    <cellStyle name="Normal" xfId="0" builtinId="0"/>
    <cellStyle name="Normal 2" xfId="3" xr:uid="{00000000-0005-0000-0000-000005000000}"/>
    <cellStyle name="Normal 2 2" xfId="7" xr:uid="{00000000-0005-0000-0000-000006000000}"/>
    <cellStyle name="Normal 3" xfId="9" xr:uid="{00000000-0005-0000-0000-000007000000}"/>
    <cellStyle name="Normal 3 2" xfId="8" xr:uid="{00000000-0005-0000-0000-000008000000}"/>
    <cellStyle name="Normal 7" xfId="4" xr:uid="{00000000-0005-0000-0000-000009000000}"/>
  </cellStyles>
  <dxfs count="10"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 tint="-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132716"/>
          <a:ext cx="2753903" cy="50682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9" name="image1.png">
          <a:extLst>
            <a:ext uri="{FF2B5EF4-FFF2-40B4-BE49-F238E27FC236}">
              <a16:creationId xmlns:a16="http://schemas.microsoft.com/office/drawing/2014/main" id="{5903DB89-EDD0-4400-9A11-A577095777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0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0" name="image1.png">
          <a:extLst>
            <a:ext uri="{FF2B5EF4-FFF2-40B4-BE49-F238E27FC236}">
              <a16:creationId xmlns:a16="http://schemas.microsoft.com/office/drawing/2014/main" id="{8D9CA3AE-CC12-4828-8540-787032476B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0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1" name="image1.png">
          <a:extLst>
            <a:ext uri="{FF2B5EF4-FFF2-40B4-BE49-F238E27FC236}">
              <a16:creationId xmlns:a16="http://schemas.microsoft.com/office/drawing/2014/main" id="{EA4F33B0-7543-49A6-854B-2B45EDA5D3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0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2" name="image1.png">
          <a:extLst>
            <a:ext uri="{FF2B5EF4-FFF2-40B4-BE49-F238E27FC236}">
              <a16:creationId xmlns:a16="http://schemas.microsoft.com/office/drawing/2014/main" id="{FE3CE7C2-E4A6-4336-A6F5-C18E1187D5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0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3" name="image1.png">
          <a:extLst>
            <a:ext uri="{FF2B5EF4-FFF2-40B4-BE49-F238E27FC236}">
              <a16:creationId xmlns:a16="http://schemas.microsoft.com/office/drawing/2014/main" id="{8BB29C7E-0AAD-4048-B086-BE49760D5D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0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4" name="image1.png">
          <a:extLst>
            <a:ext uri="{FF2B5EF4-FFF2-40B4-BE49-F238E27FC236}">
              <a16:creationId xmlns:a16="http://schemas.microsoft.com/office/drawing/2014/main" id="{06CE4DB2-9CD9-4598-86B4-EDEA0C29E7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0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5" name="image1.png">
          <a:extLst>
            <a:ext uri="{FF2B5EF4-FFF2-40B4-BE49-F238E27FC236}">
              <a16:creationId xmlns:a16="http://schemas.microsoft.com/office/drawing/2014/main" id="{65A71470-90CD-4D62-9177-7F67E00CC8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0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" name="image1.png">
          <a:extLst>
            <a:ext uri="{FF2B5EF4-FFF2-40B4-BE49-F238E27FC236}">
              <a16:creationId xmlns:a16="http://schemas.microsoft.com/office/drawing/2014/main" id="{CD4F797E-B709-4E82-84E0-407B090C35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0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" name="image1.png">
          <a:extLst>
            <a:ext uri="{FF2B5EF4-FFF2-40B4-BE49-F238E27FC236}">
              <a16:creationId xmlns:a16="http://schemas.microsoft.com/office/drawing/2014/main" id="{D9E19FA9-A6BB-43C0-8D3C-473E0635BD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0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" name="image1.png">
          <a:extLst>
            <a:ext uri="{FF2B5EF4-FFF2-40B4-BE49-F238E27FC236}">
              <a16:creationId xmlns:a16="http://schemas.microsoft.com/office/drawing/2014/main" id="{72AD9BD6-1739-4665-AC64-19269B6A0D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0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" name="image1.png">
          <a:extLst>
            <a:ext uri="{FF2B5EF4-FFF2-40B4-BE49-F238E27FC236}">
              <a16:creationId xmlns:a16="http://schemas.microsoft.com/office/drawing/2014/main" id="{9C4A7CE6-10E0-465F-8143-2604338FE7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0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" name="image1.png">
          <a:extLst>
            <a:ext uri="{FF2B5EF4-FFF2-40B4-BE49-F238E27FC236}">
              <a16:creationId xmlns:a16="http://schemas.microsoft.com/office/drawing/2014/main" id="{4985F4AA-C221-46B3-8743-D0AC40B53E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0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" name="image1.png">
          <a:extLst>
            <a:ext uri="{FF2B5EF4-FFF2-40B4-BE49-F238E27FC236}">
              <a16:creationId xmlns:a16="http://schemas.microsoft.com/office/drawing/2014/main" id="{01390AEC-06EA-4B03-846D-D9F0927CF5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0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8" name="image1.png">
          <a:extLst>
            <a:ext uri="{FF2B5EF4-FFF2-40B4-BE49-F238E27FC236}">
              <a16:creationId xmlns:a16="http://schemas.microsoft.com/office/drawing/2014/main" id="{B5393C47-D106-4E03-B4D5-8CEE00F499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0"/>
          <a:ext cx="2753903" cy="50682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6135</xdr:colOff>
      <xdr:row>0</xdr:row>
      <xdr:rowOff>99101</xdr:rowOff>
    </xdr:from>
    <xdr:to>
      <xdr:col>1</xdr:col>
      <xdr:colOff>1261030</xdr:colOff>
      <xdr:row>0</xdr:row>
      <xdr:rowOff>333375</xdr:rowOff>
    </xdr:to>
    <xdr:pic>
      <xdr:nvPicPr>
        <xdr:cNvPr id="8" name="Picture 7" descr="logoVFICServices2017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35" y="99101"/>
          <a:ext cx="1635895" cy="234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968"/>
  <sheetViews>
    <sheetView tabSelected="1" zoomScale="40" zoomScaleNormal="40" zoomScaleSheetLayoutView="40" workbookViewId="0">
      <pane xSplit="3" ySplit="6" topLeftCell="S7" activePane="bottomRight" state="frozen"/>
      <selection pane="topRight" activeCell="D1" sqref="D1"/>
      <selection pane="bottomLeft" activeCell="A7" sqref="A7"/>
      <selection pane="bottomRight" activeCell="X28" sqref="X28"/>
    </sheetView>
  </sheetViews>
  <sheetFormatPr defaultColWidth="11.09765625" defaultRowHeight="15" customHeight="1"/>
  <cols>
    <col min="1" max="1" width="11.09765625" style="60"/>
    <col min="2" max="2" width="24.19921875" style="29" customWidth="1"/>
    <col min="3" max="3" width="35.19921875" style="11" customWidth="1"/>
    <col min="4" max="5" width="25.19921875" style="30" hidden="1" customWidth="1"/>
    <col min="6" max="6" width="33.3984375" style="67" hidden="1" customWidth="1"/>
    <col min="7" max="18" width="7.8984375" style="30" hidden="1" customWidth="1"/>
    <col min="19" max="26" width="13.19921875" style="30" customWidth="1"/>
    <col min="27" max="28" width="14.09765625" style="30" customWidth="1"/>
    <col min="29" max="30" width="13.19921875" style="30" customWidth="1"/>
    <col min="31" max="32" width="11.8984375" style="30" customWidth="1"/>
    <col min="33" max="33" width="18.09765625" style="31" hidden="1" customWidth="1"/>
    <col min="34" max="36" width="15.19921875" style="31" hidden="1" customWidth="1"/>
    <col min="37" max="37" width="17.69921875" style="31" customWidth="1"/>
    <col min="38" max="40" width="15.19921875" style="31" customWidth="1"/>
    <col min="41" max="41" width="26.19921875" style="31" customWidth="1"/>
    <col min="42" max="16384" width="11.09765625" style="30"/>
  </cols>
  <sheetData>
    <row r="1" spans="1:59" ht="37.950000000000003" hidden="1" customHeight="1">
      <c r="A1" s="59"/>
      <c r="D1" s="57" t="s">
        <v>3</v>
      </c>
      <c r="E1" s="57"/>
      <c r="F1" s="63"/>
      <c r="G1" s="58"/>
      <c r="H1" s="58"/>
      <c r="I1" s="58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</row>
    <row r="2" spans="1:59" ht="37.950000000000003" hidden="1" customHeight="1">
      <c r="D2" s="57" t="s">
        <v>1</v>
      </c>
      <c r="E2" s="57"/>
      <c r="F2" s="63"/>
      <c r="G2" s="58"/>
      <c r="H2" s="58"/>
      <c r="I2" s="58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</row>
    <row r="3" spans="1:59" ht="72" customHeight="1">
      <c r="A3" s="133" t="s">
        <v>117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</row>
    <row r="4" spans="1:59" s="33" customFormat="1" ht="40.950000000000003" customHeight="1">
      <c r="A4" s="154" t="s">
        <v>4</v>
      </c>
      <c r="B4" s="154" t="s">
        <v>6</v>
      </c>
      <c r="C4" s="163" t="s">
        <v>5</v>
      </c>
      <c r="D4" s="165" t="s">
        <v>20</v>
      </c>
      <c r="E4" s="156" t="s">
        <v>21</v>
      </c>
      <c r="F4" s="151" t="s">
        <v>52</v>
      </c>
      <c r="G4" s="149">
        <v>26</v>
      </c>
      <c r="H4" s="150"/>
      <c r="I4" s="149">
        <v>27</v>
      </c>
      <c r="J4" s="150"/>
      <c r="K4" s="149">
        <v>28</v>
      </c>
      <c r="L4" s="150"/>
      <c r="M4" s="149">
        <v>29</v>
      </c>
      <c r="N4" s="150"/>
      <c r="O4" s="149">
        <v>30</v>
      </c>
      <c r="P4" s="150"/>
      <c r="Q4" s="149">
        <v>31</v>
      </c>
      <c r="R4" s="150"/>
      <c r="S4" s="149">
        <v>22</v>
      </c>
      <c r="T4" s="150"/>
      <c r="U4" s="149">
        <v>23</v>
      </c>
      <c r="V4" s="150"/>
      <c r="W4" s="149">
        <v>24</v>
      </c>
      <c r="X4" s="150"/>
      <c r="Y4" s="149">
        <v>25</v>
      </c>
      <c r="Z4" s="150"/>
      <c r="AA4" s="149">
        <v>26</v>
      </c>
      <c r="AB4" s="150"/>
      <c r="AC4" s="149">
        <v>27</v>
      </c>
      <c r="AD4" s="150"/>
      <c r="AE4" s="149">
        <v>28</v>
      </c>
      <c r="AF4" s="150"/>
      <c r="AG4" s="159" t="s">
        <v>24</v>
      </c>
      <c r="AH4" s="160"/>
      <c r="AI4" s="160"/>
      <c r="AJ4" s="161"/>
      <c r="AK4" s="159" t="s">
        <v>23</v>
      </c>
      <c r="AL4" s="160"/>
      <c r="AM4" s="160"/>
      <c r="AN4" s="161"/>
      <c r="AO4" s="12"/>
      <c r="BB4" s="24"/>
      <c r="BC4" s="24"/>
      <c r="BD4" s="24"/>
      <c r="BE4" s="24"/>
      <c r="BF4" s="24"/>
      <c r="BG4" s="24"/>
    </row>
    <row r="5" spans="1:59" s="33" customFormat="1" ht="40.950000000000003" customHeight="1">
      <c r="A5" s="154"/>
      <c r="B5" s="154"/>
      <c r="C5" s="163"/>
      <c r="D5" s="165"/>
      <c r="E5" s="157"/>
      <c r="F5" s="152"/>
      <c r="G5" s="71"/>
      <c r="H5" s="72"/>
      <c r="I5" s="71"/>
      <c r="J5" s="72"/>
      <c r="K5" s="71"/>
      <c r="L5" s="72"/>
      <c r="M5" s="71"/>
      <c r="N5" s="72"/>
      <c r="O5" s="71"/>
      <c r="P5" s="72"/>
      <c r="Q5" s="71"/>
      <c r="R5" s="72"/>
      <c r="S5" s="76">
        <v>43750</v>
      </c>
      <c r="T5" s="76">
        <v>60000</v>
      </c>
      <c r="U5" s="167">
        <v>87500</v>
      </c>
      <c r="V5" s="168"/>
      <c r="W5" s="76">
        <v>43750</v>
      </c>
      <c r="X5" s="76">
        <v>60000</v>
      </c>
      <c r="Y5" s="76">
        <v>43750</v>
      </c>
      <c r="Z5" s="76">
        <v>60000</v>
      </c>
      <c r="AA5" s="76">
        <v>43750</v>
      </c>
      <c r="AB5" s="76">
        <v>60000</v>
      </c>
      <c r="AC5" s="76">
        <v>43750</v>
      </c>
      <c r="AD5" s="76">
        <v>60000</v>
      </c>
      <c r="AE5" s="76">
        <v>43750</v>
      </c>
      <c r="AF5" s="76">
        <v>60000</v>
      </c>
      <c r="AG5" s="73"/>
      <c r="AH5" s="74"/>
      <c r="AI5" s="74"/>
      <c r="AJ5" s="75"/>
      <c r="AK5" s="73"/>
      <c r="AL5" s="74"/>
      <c r="AM5" s="74"/>
      <c r="AN5" s="75"/>
      <c r="AO5" s="12"/>
      <c r="BB5" s="24"/>
      <c r="BC5" s="24"/>
      <c r="BD5" s="24"/>
      <c r="BE5" s="24"/>
      <c r="BF5" s="24"/>
      <c r="BG5" s="24"/>
    </row>
    <row r="6" spans="1:59" ht="39.450000000000003" customHeight="1">
      <c r="A6" s="154"/>
      <c r="B6" s="162"/>
      <c r="C6" s="164"/>
      <c r="D6" s="166"/>
      <c r="E6" s="158"/>
      <c r="F6" s="153"/>
      <c r="G6" s="37" t="s">
        <v>26</v>
      </c>
      <c r="H6" s="37" t="s">
        <v>7</v>
      </c>
      <c r="I6" s="37" t="s">
        <v>26</v>
      </c>
      <c r="J6" s="37" t="s">
        <v>7</v>
      </c>
      <c r="K6" s="37" t="s">
        <v>26</v>
      </c>
      <c r="L6" s="37" t="s">
        <v>7</v>
      </c>
      <c r="M6" s="37" t="s">
        <v>26</v>
      </c>
      <c r="N6" s="37" t="s">
        <v>7</v>
      </c>
      <c r="O6" s="37" t="s">
        <v>26</v>
      </c>
      <c r="P6" s="37" t="s">
        <v>7</v>
      </c>
      <c r="Q6" s="56" t="s">
        <v>8</v>
      </c>
      <c r="R6" s="56" t="s">
        <v>7</v>
      </c>
      <c r="S6" s="37" t="s">
        <v>26</v>
      </c>
      <c r="T6" s="37" t="s">
        <v>7</v>
      </c>
      <c r="U6" s="56" t="s">
        <v>8</v>
      </c>
      <c r="V6" s="56" t="s">
        <v>7</v>
      </c>
      <c r="W6" s="37" t="s">
        <v>26</v>
      </c>
      <c r="X6" s="37" t="s">
        <v>7</v>
      </c>
      <c r="Y6" s="37" t="s">
        <v>26</v>
      </c>
      <c r="Z6" s="37" t="s">
        <v>7</v>
      </c>
      <c r="AA6" s="37" t="s">
        <v>26</v>
      </c>
      <c r="AB6" s="37" t="s">
        <v>7</v>
      </c>
      <c r="AC6" s="37" t="s">
        <v>26</v>
      </c>
      <c r="AD6" s="37" t="s">
        <v>7</v>
      </c>
      <c r="AE6" s="37" t="s">
        <v>26</v>
      </c>
      <c r="AF6" s="37" t="s">
        <v>7</v>
      </c>
      <c r="AG6" s="13" t="s">
        <v>26</v>
      </c>
      <c r="AH6" s="13" t="s">
        <v>7</v>
      </c>
      <c r="AI6" s="13" t="s">
        <v>8</v>
      </c>
      <c r="AJ6" s="13" t="s">
        <v>22</v>
      </c>
      <c r="AK6" s="13" t="s">
        <v>26</v>
      </c>
      <c r="AL6" s="13" t="s">
        <v>7</v>
      </c>
      <c r="AM6" s="13" t="s">
        <v>8</v>
      </c>
      <c r="AN6" s="13" t="s">
        <v>22</v>
      </c>
      <c r="AO6" s="13" t="s">
        <v>16</v>
      </c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2"/>
      <c r="BC6" s="32"/>
      <c r="BD6" s="32"/>
      <c r="BE6" s="32"/>
      <c r="BF6" s="32"/>
      <c r="BG6" s="32"/>
    </row>
    <row r="7" spans="1:59" ht="44.25" customHeight="1">
      <c r="A7" s="14" t="s">
        <v>35</v>
      </c>
      <c r="B7" s="15" t="s">
        <v>47</v>
      </c>
      <c r="C7" s="16" t="s">
        <v>53</v>
      </c>
      <c r="D7" s="17" t="s">
        <v>19</v>
      </c>
      <c r="E7" s="17" t="s">
        <v>21</v>
      </c>
      <c r="F7" s="64"/>
      <c r="G7" s="69"/>
      <c r="H7" s="69"/>
      <c r="I7" s="69"/>
      <c r="J7" s="69"/>
      <c r="K7" s="69"/>
      <c r="L7" s="69"/>
      <c r="M7" s="69"/>
      <c r="N7" s="69"/>
      <c r="O7" s="69"/>
      <c r="P7" s="69"/>
      <c r="Q7" s="70"/>
      <c r="R7" s="70"/>
      <c r="S7" s="69">
        <v>8</v>
      </c>
      <c r="T7" s="69"/>
      <c r="U7" s="69"/>
      <c r="V7" s="69"/>
      <c r="W7" s="69">
        <v>8</v>
      </c>
      <c r="X7" s="69"/>
      <c r="Y7" s="69">
        <v>8</v>
      </c>
      <c r="Z7" s="69"/>
      <c r="AA7" s="69">
        <v>8</v>
      </c>
      <c r="AB7" s="69"/>
      <c r="AC7" s="69">
        <v>8</v>
      </c>
      <c r="AD7" s="69"/>
      <c r="AE7" s="69">
        <v>8</v>
      </c>
      <c r="AF7" s="69"/>
      <c r="AG7" s="18">
        <f t="shared" ref="AG7:AG16" si="0">IF(E7="Không có tay nghề",SUMIF($G$6:$AF$6,$AG$6,G7:AF7),0)</f>
        <v>0</v>
      </c>
      <c r="AH7" s="18">
        <f t="shared" ref="AH7:AH16" si="1">IF(E7="Không có tay nghề",SUMIF($G$6:$AF$6,$AH$6,G7:AF7),0)</f>
        <v>0</v>
      </c>
      <c r="AI7" s="18">
        <f t="shared" ref="AI7:AI16" si="2">IF(E7="Không có tay nghề",SUMIF($G$6:$AF$6,$AI$6,G7:AF7),0)</f>
        <v>0</v>
      </c>
      <c r="AJ7" s="19"/>
      <c r="AK7" s="18">
        <f t="shared" ref="AK7:AK18" si="3">IF(E7="Có tay nghề",SUMIF($G$6:$AF$6,$AG$6,G7:AF7),0)</f>
        <v>48</v>
      </c>
      <c r="AL7" s="18">
        <f t="shared" ref="AL7:AL18" si="4">IF(E7="Có tay nghề",SUMIF($G$6:$AF$6,$AH$6,G7:AF7),0)</f>
        <v>0</v>
      </c>
      <c r="AM7" s="18">
        <f t="shared" ref="AM7:AM18" si="5">IF(E7="Có tay nghề",SUMIF($G$6:$AF$6,$AI$6,G7:AF7),0)</f>
        <v>0</v>
      </c>
      <c r="AN7" s="19"/>
      <c r="AO7" s="55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2"/>
      <c r="BC7" s="32"/>
      <c r="BD7" s="32"/>
      <c r="BE7" s="32"/>
      <c r="BF7" s="32"/>
      <c r="BG7" s="32"/>
    </row>
    <row r="8" spans="1:59" ht="44.25" customHeight="1">
      <c r="A8" s="14" t="s">
        <v>37</v>
      </c>
      <c r="B8" s="15" t="s">
        <v>59</v>
      </c>
      <c r="C8" s="16" t="s">
        <v>58</v>
      </c>
      <c r="D8" s="17" t="s">
        <v>19</v>
      </c>
      <c r="E8" s="17" t="s">
        <v>21</v>
      </c>
      <c r="F8" s="64"/>
      <c r="G8" s="69"/>
      <c r="H8" s="69"/>
      <c r="I8" s="69"/>
      <c r="J8" s="69"/>
      <c r="K8" s="69"/>
      <c r="L8" s="69"/>
      <c r="M8" s="69"/>
      <c r="N8" s="69"/>
      <c r="O8" s="69"/>
      <c r="P8" s="69"/>
      <c r="Q8" s="70"/>
      <c r="R8" s="70"/>
      <c r="S8" s="69">
        <v>8</v>
      </c>
      <c r="T8" s="69"/>
      <c r="U8" s="69"/>
      <c r="V8" s="69"/>
      <c r="W8" s="69">
        <v>8</v>
      </c>
      <c r="X8" s="69"/>
      <c r="Y8" s="69">
        <v>8</v>
      </c>
      <c r="Z8" s="69"/>
      <c r="AA8" s="69">
        <v>8</v>
      </c>
      <c r="AB8" s="69"/>
      <c r="AC8" s="69">
        <v>8</v>
      </c>
      <c r="AD8" s="69"/>
      <c r="AE8" s="69">
        <v>8</v>
      </c>
      <c r="AF8" s="69"/>
      <c r="AG8" s="18">
        <f t="shared" si="0"/>
        <v>0</v>
      </c>
      <c r="AH8" s="18">
        <f t="shared" si="1"/>
        <v>0</v>
      </c>
      <c r="AI8" s="18">
        <f t="shared" si="2"/>
        <v>0</v>
      </c>
      <c r="AJ8" s="19"/>
      <c r="AK8" s="18">
        <f t="shared" si="3"/>
        <v>48</v>
      </c>
      <c r="AL8" s="18">
        <f t="shared" si="4"/>
        <v>0</v>
      </c>
      <c r="AM8" s="18">
        <f t="shared" si="5"/>
        <v>0</v>
      </c>
      <c r="AN8" s="19"/>
      <c r="AO8" s="55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2"/>
      <c r="BC8" s="32"/>
      <c r="BD8" s="32"/>
      <c r="BE8" s="32"/>
      <c r="BF8" s="32"/>
      <c r="BG8" s="32"/>
    </row>
    <row r="9" spans="1:59" ht="44.25" customHeight="1">
      <c r="A9" s="14" t="s">
        <v>36</v>
      </c>
      <c r="B9" s="15" t="s">
        <v>63</v>
      </c>
      <c r="C9" s="16" t="s">
        <v>64</v>
      </c>
      <c r="D9" s="17" t="s">
        <v>19</v>
      </c>
      <c r="E9" s="17" t="s">
        <v>21</v>
      </c>
      <c r="F9" s="64"/>
      <c r="G9" s="69"/>
      <c r="H9" s="69"/>
      <c r="I9" s="69"/>
      <c r="J9" s="69"/>
      <c r="K9" s="69"/>
      <c r="L9" s="69"/>
      <c r="M9" s="69"/>
      <c r="N9" s="69"/>
      <c r="O9" s="69"/>
      <c r="P9" s="69"/>
      <c r="Q9" s="70"/>
      <c r="R9" s="70"/>
      <c r="S9" s="69"/>
      <c r="T9" s="69"/>
      <c r="U9" s="69"/>
      <c r="V9" s="69"/>
      <c r="W9" s="69">
        <v>8</v>
      </c>
      <c r="X9" s="69"/>
      <c r="Y9" s="69">
        <v>8</v>
      </c>
      <c r="Z9" s="69"/>
      <c r="AA9" s="69">
        <v>8</v>
      </c>
      <c r="AB9" s="69"/>
      <c r="AC9" s="69">
        <v>8</v>
      </c>
      <c r="AD9" s="69"/>
      <c r="AE9" s="69"/>
      <c r="AF9" s="69"/>
      <c r="AG9" s="18">
        <f t="shared" si="0"/>
        <v>0</v>
      </c>
      <c r="AH9" s="18">
        <f t="shared" si="1"/>
        <v>0</v>
      </c>
      <c r="AI9" s="18">
        <f t="shared" si="2"/>
        <v>0</v>
      </c>
      <c r="AJ9" s="19"/>
      <c r="AK9" s="18">
        <f t="shared" si="3"/>
        <v>32</v>
      </c>
      <c r="AL9" s="18">
        <f t="shared" si="4"/>
        <v>0</v>
      </c>
      <c r="AM9" s="18">
        <f t="shared" si="5"/>
        <v>0</v>
      </c>
      <c r="AN9" s="19"/>
      <c r="AO9" s="55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2"/>
      <c r="BC9" s="32"/>
      <c r="BD9" s="32"/>
      <c r="BE9" s="32"/>
      <c r="BF9" s="32"/>
      <c r="BG9" s="32"/>
    </row>
    <row r="10" spans="1:59" ht="44.25" customHeight="1">
      <c r="A10" s="14" t="s">
        <v>41</v>
      </c>
      <c r="B10" s="15" t="s">
        <v>65</v>
      </c>
      <c r="C10" s="16" t="s">
        <v>66</v>
      </c>
      <c r="D10" s="17" t="s">
        <v>19</v>
      </c>
      <c r="E10" s="17" t="s">
        <v>21</v>
      </c>
      <c r="F10" s="64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70"/>
      <c r="R10" s="70"/>
      <c r="S10" s="69">
        <v>8</v>
      </c>
      <c r="T10" s="69"/>
      <c r="U10" s="69"/>
      <c r="V10" s="69"/>
      <c r="W10" s="69">
        <v>8</v>
      </c>
      <c r="X10" s="69"/>
      <c r="Y10" s="69">
        <v>8</v>
      </c>
      <c r="Z10" s="69"/>
      <c r="AA10" s="69">
        <v>8</v>
      </c>
      <c r="AB10" s="69"/>
      <c r="AC10" s="69">
        <v>8</v>
      </c>
      <c r="AD10" s="69"/>
      <c r="AE10" s="69"/>
      <c r="AF10" s="69"/>
      <c r="AG10" s="18">
        <f t="shared" si="0"/>
        <v>0</v>
      </c>
      <c r="AH10" s="18">
        <f t="shared" si="1"/>
        <v>0</v>
      </c>
      <c r="AI10" s="18">
        <f t="shared" si="2"/>
        <v>0</v>
      </c>
      <c r="AJ10" s="19"/>
      <c r="AK10" s="18">
        <f t="shared" si="3"/>
        <v>40</v>
      </c>
      <c r="AL10" s="18">
        <f t="shared" si="4"/>
        <v>0</v>
      </c>
      <c r="AM10" s="18">
        <f t="shared" si="5"/>
        <v>0</v>
      </c>
      <c r="AN10" s="19"/>
      <c r="AO10" s="55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2"/>
      <c r="BC10" s="32"/>
      <c r="BD10" s="32"/>
      <c r="BE10" s="32"/>
      <c r="BF10" s="32"/>
      <c r="BG10" s="32"/>
    </row>
    <row r="11" spans="1:59" ht="44.25" customHeight="1">
      <c r="A11" s="14" t="s">
        <v>42</v>
      </c>
      <c r="B11" s="15" t="s">
        <v>67</v>
      </c>
      <c r="C11" s="16" t="s">
        <v>68</v>
      </c>
      <c r="D11" s="17" t="s">
        <v>19</v>
      </c>
      <c r="E11" s="17" t="s">
        <v>21</v>
      </c>
      <c r="F11" s="64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70"/>
      <c r="R11" s="70"/>
      <c r="S11" s="69">
        <v>8</v>
      </c>
      <c r="T11" s="69"/>
      <c r="U11" s="69"/>
      <c r="V11" s="69"/>
      <c r="W11" s="69">
        <v>8</v>
      </c>
      <c r="X11" s="69"/>
      <c r="Y11" s="69">
        <v>8</v>
      </c>
      <c r="Z11" s="69"/>
      <c r="AA11" s="69">
        <v>8</v>
      </c>
      <c r="AB11" s="69"/>
      <c r="AC11" s="69"/>
      <c r="AD11" s="69"/>
      <c r="AE11" s="69">
        <v>8</v>
      </c>
      <c r="AF11" s="69"/>
      <c r="AG11" s="18">
        <f t="shared" si="0"/>
        <v>0</v>
      </c>
      <c r="AH11" s="18">
        <f t="shared" si="1"/>
        <v>0</v>
      </c>
      <c r="AI11" s="18">
        <f t="shared" si="2"/>
        <v>0</v>
      </c>
      <c r="AJ11" s="19"/>
      <c r="AK11" s="18">
        <f t="shared" si="3"/>
        <v>40</v>
      </c>
      <c r="AL11" s="18">
        <f t="shared" si="4"/>
        <v>0</v>
      </c>
      <c r="AM11" s="18">
        <f t="shared" si="5"/>
        <v>0</v>
      </c>
      <c r="AN11" s="19"/>
      <c r="AO11" s="55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2"/>
      <c r="BC11" s="32"/>
      <c r="BD11" s="32"/>
      <c r="BE11" s="32"/>
      <c r="BF11" s="32"/>
      <c r="BG11" s="32"/>
    </row>
    <row r="12" spans="1:59" ht="44.25" customHeight="1">
      <c r="A12" s="14" t="s">
        <v>43</v>
      </c>
      <c r="B12" s="15" t="s">
        <v>69</v>
      </c>
      <c r="C12" s="16" t="s">
        <v>70</v>
      </c>
      <c r="D12" s="17" t="s">
        <v>19</v>
      </c>
      <c r="E12" s="17" t="s">
        <v>21</v>
      </c>
      <c r="F12" s="64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70"/>
      <c r="R12" s="70"/>
      <c r="S12" s="69">
        <v>8</v>
      </c>
      <c r="T12" s="69"/>
      <c r="U12" s="69"/>
      <c r="V12" s="69"/>
      <c r="W12" s="69">
        <v>8</v>
      </c>
      <c r="X12" s="69"/>
      <c r="Y12" s="69">
        <v>8</v>
      </c>
      <c r="Z12" s="69"/>
      <c r="AA12" s="69">
        <v>8</v>
      </c>
      <c r="AB12" s="69"/>
      <c r="AC12" s="69">
        <v>8</v>
      </c>
      <c r="AD12" s="69"/>
      <c r="AE12" s="69">
        <v>8</v>
      </c>
      <c r="AF12" s="69"/>
      <c r="AG12" s="18">
        <f t="shared" si="0"/>
        <v>0</v>
      </c>
      <c r="AH12" s="18">
        <f t="shared" si="1"/>
        <v>0</v>
      </c>
      <c r="AI12" s="18">
        <f t="shared" si="2"/>
        <v>0</v>
      </c>
      <c r="AJ12" s="19"/>
      <c r="AK12" s="18">
        <f t="shared" si="3"/>
        <v>48</v>
      </c>
      <c r="AL12" s="18">
        <f t="shared" si="4"/>
        <v>0</v>
      </c>
      <c r="AM12" s="18">
        <f t="shared" si="5"/>
        <v>0</v>
      </c>
      <c r="AN12" s="19"/>
      <c r="AO12" s="55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2"/>
      <c r="BC12" s="32"/>
      <c r="BD12" s="32"/>
      <c r="BE12" s="32"/>
      <c r="BF12" s="32"/>
      <c r="BG12" s="32"/>
    </row>
    <row r="13" spans="1:59" ht="44.25" customHeight="1">
      <c r="A13" s="14" t="s">
        <v>44</v>
      </c>
      <c r="B13" s="15" t="s">
        <v>71</v>
      </c>
      <c r="C13" s="16" t="s">
        <v>72</v>
      </c>
      <c r="D13" s="17" t="s">
        <v>19</v>
      </c>
      <c r="E13" s="17" t="s">
        <v>21</v>
      </c>
      <c r="F13" s="64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70"/>
      <c r="R13" s="70"/>
      <c r="S13" s="69"/>
      <c r="T13" s="69"/>
      <c r="U13" s="69"/>
      <c r="V13" s="69"/>
      <c r="W13" s="69"/>
      <c r="X13" s="69"/>
      <c r="Y13" s="69">
        <v>8</v>
      </c>
      <c r="Z13" s="69"/>
      <c r="AA13" s="69">
        <v>8</v>
      </c>
      <c r="AB13" s="69"/>
      <c r="AC13" s="69">
        <v>8</v>
      </c>
      <c r="AD13" s="69"/>
      <c r="AE13" s="69">
        <v>8</v>
      </c>
      <c r="AF13" s="69"/>
      <c r="AG13" s="18">
        <f t="shared" si="0"/>
        <v>0</v>
      </c>
      <c r="AH13" s="18">
        <f t="shared" si="1"/>
        <v>0</v>
      </c>
      <c r="AI13" s="18">
        <f t="shared" si="2"/>
        <v>0</v>
      </c>
      <c r="AJ13" s="19"/>
      <c r="AK13" s="18">
        <f t="shared" si="3"/>
        <v>32</v>
      </c>
      <c r="AL13" s="18">
        <f t="shared" si="4"/>
        <v>0</v>
      </c>
      <c r="AM13" s="18">
        <f t="shared" si="5"/>
        <v>0</v>
      </c>
      <c r="AN13" s="19"/>
      <c r="AO13" s="55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2"/>
      <c r="BC13" s="32"/>
      <c r="BD13" s="32"/>
      <c r="BE13" s="32"/>
      <c r="BF13" s="32"/>
      <c r="BG13" s="32"/>
    </row>
    <row r="14" spans="1:59" ht="44.25" customHeight="1">
      <c r="A14" s="14" t="s">
        <v>45</v>
      </c>
      <c r="B14" s="15" t="s">
        <v>73</v>
      </c>
      <c r="C14" s="16" t="s">
        <v>74</v>
      </c>
      <c r="D14" s="17" t="s">
        <v>19</v>
      </c>
      <c r="E14" s="17" t="s">
        <v>21</v>
      </c>
      <c r="F14" s="64" t="s">
        <v>62</v>
      </c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70"/>
      <c r="R14" s="70"/>
      <c r="S14" s="69"/>
      <c r="T14" s="69"/>
      <c r="U14" s="69"/>
      <c r="V14" s="69"/>
      <c r="W14" s="69">
        <v>8</v>
      </c>
      <c r="X14" s="69"/>
      <c r="Y14" s="69">
        <v>8</v>
      </c>
      <c r="Z14" s="69"/>
      <c r="AA14" s="69">
        <v>8</v>
      </c>
      <c r="AB14" s="69"/>
      <c r="AC14" s="69">
        <v>8</v>
      </c>
      <c r="AD14" s="69"/>
      <c r="AE14" s="69">
        <v>8</v>
      </c>
      <c r="AF14" s="69"/>
      <c r="AG14" s="18">
        <f t="shared" si="0"/>
        <v>0</v>
      </c>
      <c r="AH14" s="18">
        <f t="shared" si="1"/>
        <v>0</v>
      </c>
      <c r="AI14" s="18">
        <f t="shared" si="2"/>
        <v>0</v>
      </c>
      <c r="AJ14" s="19"/>
      <c r="AK14" s="18">
        <f t="shared" si="3"/>
        <v>40</v>
      </c>
      <c r="AL14" s="18">
        <f t="shared" si="4"/>
        <v>0</v>
      </c>
      <c r="AM14" s="18">
        <f t="shared" si="5"/>
        <v>0</v>
      </c>
      <c r="AN14" s="19"/>
      <c r="AO14" s="55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2"/>
      <c r="BC14" s="32"/>
      <c r="BD14" s="32"/>
      <c r="BE14" s="32"/>
      <c r="BF14" s="32"/>
      <c r="BG14" s="32"/>
    </row>
    <row r="15" spans="1:59" ht="44.25" customHeight="1">
      <c r="A15" s="14" t="s">
        <v>46</v>
      </c>
      <c r="B15" s="15" t="s">
        <v>77</v>
      </c>
      <c r="C15" s="16" t="s">
        <v>78</v>
      </c>
      <c r="D15" s="17" t="s">
        <v>19</v>
      </c>
      <c r="E15" s="17" t="s">
        <v>21</v>
      </c>
      <c r="F15" s="64" t="s">
        <v>62</v>
      </c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39"/>
      <c r="S15" s="38"/>
      <c r="T15" s="38"/>
      <c r="U15" s="38"/>
      <c r="V15" s="38"/>
      <c r="W15" s="69">
        <v>8</v>
      </c>
      <c r="X15" s="69"/>
      <c r="Y15" s="69">
        <v>8</v>
      </c>
      <c r="Z15" s="69"/>
      <c r="AA15" s="69"/>
      <c r="AB15" s="69"/>
      <c r="AC15" s="69">
        <v>8</v>
      </c>
      <c r="AD15" s="69"/>
      <c r="AE15" s="69">
        <v>8</v>
      </c>
      <c r="AF15" s="69"/>
      <c r="AG15" s="18">
        <f t="shared" si="0"/>
        <v>0</v>
      </c>
      <c r="AH15" s="18">
        <f t="shared" si="1"/>
        <v>0</v>
      </c>
      <c r="AI15" s="18">
        <f t="shared" si="2"/>
        <v>0</v>
      </c>
      <c r="AJ15" s="19"/>
      <c r="AK15" s="18">
        <f t="shared" si="3"/>
        <v>32</v>
      </c>
      <c r="AL15" s="18">
        <f t="shared" si="4"/>
        <v>0</v>
      </c>
      <c r="AM15" s="18">
        <f t="shared" si="5"/>
        <v>0</v>
      </c>
      <c r="AN15" s="19"/>
      <c r="AO15" s="55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2"/>
      <c r="BC15" s="32"/>
      <c r="BD15" s="32"/>
      <c r="BE15" s="32"/>
      <c r="BF15" s="32"/>
      <c r="BG15" s="32"/>
    </row>
    <row r="16" spans="1:59" ht="44.25" customHeight="1">
      <c r="A16" s="14" t="s">
        <v>38</v>
      </c>
      <c r="B16" s="15" t="s">
        <v>81</v>
      </c>
      <c r="C16" s="16" t="s">
        <v>82</v>
      </c>
      <c r="D16" s="17" t="s">
        <v>19</v>
      </c>
      <c r="E16" s="17" t="s">
        <v>21</v>
      </c>
      <c r="F16" s="64" t="s">
        <v>62</v>
      </c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9"/>
      <c r="R16" s="39"/>
      <c r="S16" s="38">
        <v>8</v>
      </c>
      <c r="T16" s="38"/>
      <c r="U16" s="38"/>
      <c r="V16" s="38"/>
      <c r="W16" s="69">
        <v>8</v>
      </c>
      <c r="X16" s="69"/>
      <c r="Y16" s="69">
        <v>8</v>
      </c>
      <c r="Z16" s="69"/>
      <c r="AA16" s="69">
        <v>8</v>
      </c>
      <c r="AB16" s="69"/>
      <c r="AC16" s="69">
        <v>8</v>
      </c>
      <c r="AD16" s="69"/>
      <c r="AE16" s="69"/>
      <c r="AF16" s="69"/>
      <c r="AG16" s="18">
        <f t="shared" si="0"/>
        <v>0</v>
      </c>
      <c r="AH16" s="18">
        <f t="shared" si="1"/>
        <v>0</v>
      </c>
      <c r="AI16" s="18">
        <f t="shared" si="2"/>
        <v>0</v>
      </c>
      <c r="AJ16" s="19"/>
      <c r="AK16" s="18">
        <f t="shared" si="3"/>
        <v>40</v>
      </c>
      <c r="AL16" s="18">
        <f t="shared" si="4"/>
        <v>0</v>
      </c>
      <c r="AM16" s="18">
        <f t="shared" si="5"/>
        <v>0</v>
      </c>
      <c r="AN16" s="19"/>
      <c r="AO16" s="55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2"/>
      <c r="BC16" s="32"/>
      <c r="BD16" s="32"/>
      <c r="BE16" s="32"/>
      <c r="BF16" s="32"/>
      <c r="BG16" s="32"/>
    </row>
    <row r="17" spans="1:59" ht="44.25" customHeight="1">
      <c r="A17" s="14" t="s">
        <v>39</v>
      </c>
      <c r="B17" s="15" t="s">
        <v>79</v>
      </c>
      <c r="C17" s="16" t="s">
        <v>80</v>
      </c>
      <c r="D17" s="17" t="s">
        <v>19</v>
      </c>
      <c r="E17" s="17" t="s">
        <v>21</v>
      </c>
      <c r="F17" s="64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9"/>
      <c r="R17" s="39"/>
      <c r="S17" s="38">
        <v>8</v>
      </c>
      <c r="T17" s="38"/>
      <c r="U17" s="38"/>
      <c r="V17" s="38"/>
      <c r="W17" s="69">
        <v>8</v>
      </c>
      <c r="X17" s="69"/>
      <c r="Y17" s="69">
        <v>8</v>
      </c>
      <c r="Z17" s="69"/>
      <c r="AA17" s="69"/>
      <c r="AB17" s="69"/>
      <c r="AC17" s="69">
        <v>8</v>
      </c>
      <c r="AD17" s="69"/>
      <c r="AE17" s="69">
        <v>8</v>
      </c>
      <c r="AF17" s="69"/>
      <c r="AG17" s="18"/>
      <c r="AH17" s="18"/>
      <c r="AI17" s="18"/>
      <c r="AJ17" s="19"/>
      <c r="AK17" s="18">
        <f t="shared" si="3"/>
        <v>40</v>
      </c>
      <c r="AL17" s="18">
        <f t="shared" si="4"/>
        <v>0</v>
      </c>
      <c r="AM17" s="18">
        <f t="shared" si="5"/>
        <v>0</v>
      </c>
      <c r="AN17" s="19"/>
      <c r="AO17" s="55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2"/>
      <c r="BC17" s="32"/>
      <c r="BD17" s="32"/>
      <c r="BE17" s="32"/>
      <c r="BF17" s="32"/>
      <c r="BG17" s="32"/>
    </row>
    <row r="18" spans="1:59" ht="44.25" customHeight="1">
      <c r="A18" s="14" t="s">
        <v>40</v>
      </c>
      <c r="B18" s="15" t="s">
        <v>83</v>
      </c>
      <c r="C18" s="16" t="s">
        <v>84</v>
      </c>
      <c r="D18" s="17" t="s">
        <v>19</v>
      </c>
      <c r="E18" s="17" t="s">
        <v>21</v>
      </c>
      <c r="F18" s="64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9"/>
      <c r="R18" s="39"/>
      <c r="S18" s="38">
        <v>8</v>
      </c>
      <c r="T18" s="38"/>
      <c r="U18" s="38"/>
      <c r="V18" s="38"/>
      <c r="W18" s="69"/>
      <c r="X18" s="69"/>
      <c r="Y18" s="69">
        <v>8</v>
      </c>
      <c r="Z18" s="69"/>
      <c r="AA18" s="69">
        <v>8</v>
      </c>
      <c r="AB18" s="69"/>
      <c r="AC18" s="69">
        <v>8</v>
      </c>
      <c r="AD18" s="69"/>
      <c r="AE18" s="69">
        <v>8</v>
      </c>
      <c r="AF18" s="69"/>
      <c r="AG18" s="18"/>
      <c r="AH18" s="18"/>
      <c r="AI18" s="18"/>
      <c r="AJ18" s="19"/>
      <c r="AK18" s="18">
        <f t="shared" si="3"/>
        <v>40</v>
      </c>
      <c r="AL18" s="18">
        <f t="shared" si="4"/>
        <v>0</v>
      </c>
      <c r="AM18" s="18">
        <f t="shared" si="5"/>
        <v>0</v>
      </c>
      <c r="AN18" s="19"/>
      <c r="AO18" s="55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2"/>
      <c r="BC18" s="32"/>
      <c r="BD18" s="32"/>
      <c r="BE18" s="32"/>
      <c r="BF18" s="32"/>
      <c r="BG18" s="32"/>
    </row>
    <row r="19" spans="1:59" ht="44.25" customHeight="1">
      <c r="A19" s="14" t="s">
        <v>50</v>
      </c>
      <c r="B19" s="15" t="s">
        <v>124</v>
      </c>
      <c r="C19" s="16" t="s">
        <v>123</v>
      </c>
      <c r="D19" s="17" t="s">
        <v>19</v>
      </c>
      <c r="E19" s="17" t="s">
        <v>21</v>
      </c>
      <c r="F19" s="64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39"/>
      <c r="S19" s="38"/>
      <c r="T19" s="38"/>
      <c r="U19" s="38"/>
      <c r="V19" s="38"/>
      <c r="W19" s="69">
        <v>8</v>
      </c>
      <c r="X19" s="69"/>
      <c r="Y19" s="69">
        <v>8</v>
      </c>
      <c r="Z19" s="69"/>
      <c r="AA19" s="69"/>
      <c r="AB19" s="69"/>
      <c r="AC19" s="69">
        <v>8</v>
      </c>
      <c r="AD19" s="69"/>
      <c r="AE19" s="69">
        <v>6.5</v>
      </c>
      <c r="AF19" s="69"/>
      <c r="AG19" s="18"/>
      <c r="AH19" s="18"/>
      <c r="AI19" s="18"/>
      <c r="AJ19" s="19"/>
      <c r="AK19" s="18">
        <f t="shared" ref="AK19" si="6">IF(E19="Có tay nghề",SUMIF($G$6:$AF$6,$AG$6,G19:AF19),0)</f>
        <v>30.5</v>
      </c>
      <c r="AL19" s="18">
        <f t="shared" ref="AL19" si="7">IF(E19="Có tay nghề",SUMIF($G$6:$AF$6,$AH$6,G19:AF19),0)</f>
        <v>0</v>
      </c>
      <c r="AM19" s="18">
        <f t="shared" ref="AM19" si="8">IF(E19="Có tay nghề",SUMIF($G$6:$AF$6,$AI$6,G19:AF19),0)</f>
        <v>0</v>
      </c>
      <c r="AN19" s="19"/>
      <c r="AO19" s="55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2"/>
      <c r="BC19" s="32"/>
      <c r="BD19" s="32"/>
      <c r="BE19" s="32"/>
      <c r="BF19" s="32"/>
      <c r="BG19" s="32"/>
    </row>
    <row r="20" spans="1:59" ht="44.25" customHeight="1">
      <c r="A20" s="14" t="s">
        <v>51</v>
      </c>
      <c r="B20" s="15" t="s">
        <v>113</v>
      </c>
      <c r="C20" s="16" t="s">
        <v>114</v>
      </c>
      <c r="D20" s="17" t="s">
        <v>19</v>
      </c>
      <c r="E20" s="17" t="s">
        <v>21</v>
      </c>
      <c r="F20" s="64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9"/>
      <c r="R20" s="39"/>
      <c r="S20" s="38"/>
      <c r="T20" s="38"/>
      <c r="U20" s="38"/>
      <c r="V20" s="38"/>
      <c r="W20" s="69"/>
      <c r="X20" s="69"/>
      <c r="Y20" s="69"/>
      <c r="Z20" s="69"/>
      <c r="AA20" s="69">
        <v>8</v>
      </c>
      <c r="AB20" s="69"/>
      <c r="AC20" s="69">
        <v>8</v>
      </c>
      <c r="AD20" s="69"/>
      <c r="AE20" s="69">
        <v>8</v>
      </c>
      <c r="AF20" s="69"/>
      <c r="AG20" s="18"/>
      <c r="AH20" s="18"/>
      <c r="AI20" s="18"/>
      <c r="AJ20" s="19"/>
      <c r="AK20" s="18">
        <f t="shared" ref="AK20:AK23" si="9">IF(E20="Có tay nghề",SUMIF($G$6:$AF$6,$AG$6,G20:AF20),0)</f>
        <v>24</v>
      </c>
      <c r="AL20" s="18">
        <f t="shared" ref="AL20:AL23" si="10">IF(E20="Có tay nghề",SUMIF($G$6:$AF$6,$AH$6,G20:AF20),0)</f>
        <v>0</v>
      </c>
      <c r="AM20" s="18">
        <f t="shared" ref="AM20:AM23" si="11">IF(E20="Có tay nghề",SUMIF($G$6:$AF$6,$AI$6,G20:AF20),0)</f>
        <v>0</v>
      </c>
      <c r="AN20" s="19"/>
      <c r="AO20" s="55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2"/>
      <c r="BC20" s="32"/>
      <c r="BD20" s="32"/>
      <c r="BE20" s="32"/>
      <c r="BF20" s="32"/>
      <c r="BG20" s="32"/>
    </row>
    <row r="21" spans="1:59" ht="44.25" customHeight="1">
      <c r="A21" s="14" t="s">
        <v>85</v>
      </c>
      <c r="B21" s="15" t="s">
        <v>75</v>
      </c>
      <c r="C21" s="16" t="s">
        <v>76</v>
      </c>
      <c r="D21" s="17" t="s">
        <v>121</v>
      </c>
      <c r="E21" s="17" t="s">
        <v>21</v>
      </c>
      <c r="F21" s="64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9"/>
      <c r="R21" s="39"/>
      <c r="S21" s="38">
        <v>8</v>
      </c>
      <c r="T21" s="38"/>
      <c r="U21" s="38"/>
      <c r="V21" s="38"/>
      <c r="W21" s="69">
        <v>8</v>
      </c>
      <c r="X21" s="69"/>
      <c r="Y21" s="69">
        <v>8</v>
      </c>
      <c r="Z21" s="69"/>
      <c r="AA21" s="69">
        <v>8</v>
      </c>
      <c r="AB21" s="69"/>
      <c r="AC21" s="69">
        <v>8</v>
      </c>
      <c r="AD21" s="69">
        <v>1</v>
      </c>
      <c r="AE21" s="69">
        <v>8</v>
      </c>
      <c r="AF21" s="69">
        <v>1</v>
      </c>
      <c r="AG21" s="18"/>
      <c r="AH21" s="18"/>
      <c r="AI21" s="18"/>
      <c r="AJ21" s="19"/>
      <c r="AK21" s="18">
        <f t="shared" si="9"/>
        <v>48</v>
      </c>
      <c r="AL21" s="18">
        <f t="shared" si="10"/>
        <v>2</v>
      </c>
      <c r="AM21" s="18">
        <f t="shared" si="11"/>
        <v>0</v>
      </c>
      <c r="AN21" s="19"/>
      <c r="AO21" s="55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2"/>
      <c r="BC21" s="32"/>
      <c r="BD21" s="32"/>
      <c r="BE21" s="32"/>
      <c r="BF21" s="32"/>
      <c r="BG21" s="32"/>
    </row>
    <row r="22" spans="1:59" ht="44.25" customHeight="1">
      <c r="A22" s="14" t="s">
        <v>86</v>
      </c>
      <c r="B22" s="15" t="s">
        <v>56</v>
      </c>
      <c r="C22" s="16" t="s">
        <v>55</v>
      </c>
      <c r="D22" s="17" t="s">
        <v>121</v>
      </c>
      <c r="E22" s="17" t="s">
        <v>21</v>
      </c>
      <c r="F22" s="64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9"/>
      <c r="R22" s="39"/>
      <c r="S22" s="38">
        <v>8</v>
      </c>
      <c r="T22" s="38"/>
      <c r="U22" s="38"/>
      <c r="V22" s="38"/>
      <c r="W22" s="69"/>
      <c r="X22" s="69"/>
      <c r="Y22" s="69">
        <v>8</v>
      </c>
      <c r="Z22" s="69"/>
      <c r="AA22" s="69">
        <v>8</v>
      </c>
      <c r="AB22" s="69"/>
      <c r="AC22" s="69">
        <v>8</v>
      </c>
      <c r="AD22" s="69">
        <v>1</v>
      </c>
      <c r="AE22" s="69">
        <v>8</v>
      </c>
      <c r="AF22" s="69">
        <v>1</v>
      </c>
      <c r="AG22" s="18">
        <v>8</v>
      </c>
      <c r="AH22" s="18">
        <v>1</v>
      </c>
      <c r="AI22" s="18"/>
      <c r="AJ22" s="19"/>
      <c r="AK22" s="18">
        <f t="shared" si="9"/>
        <v>40</v>
      </c>
      <c r="AL22" s="18">
        <f t="shared" si="10"/>
        <v>2</v>
      </c>
      <c r="AM22" s="18">
        <f t="shared" si="11"/>
        <v>0</v>
      </c>
      <c r="AN22" s="19"/>
      <c r="AO22" s="55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2"/>
      <c r="BC22" s="32"/>
      <c r="BD22" s="32"/>
      <c r="BE22" s="32"/>
      <c r="BF22" s="32"/>
      <c r="BG22" s="32"/>
    </row>
    <row r="23" spans="1:59" ht="44.25" customHeight="1">
      <c r="A23" s="14"/>
      <c r="B23" s="15"/>
      <c r="C23" s="16"/>
      <c r="D23" s="17"/>
      <c r="E23" s="17"/>
      <c r="F23" s="64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9"/>
      <c r="R23" s="39"/>
      <c r="S23" s="38"/>
      <c r="T23" s="38"/>
      <c r="U23" s="38"/>
      <c r="V23" s="38"/>
      <c r="W23" s="38"/>
      <c r="X23" s="38"/>
      <c r="Y23" s="38"/>
      <c r="Z23" s="38"/>
      <c r="AA23" s="129"/>
      <c r="AB23" s="129"/>
      <c r="AC23" s="38"/>
      <c r="AD23" s="38"/>
      <c r="AE23" s="38"/>
      <c r="AF23" s="38"/>
      <c r="AG23" s="18"/>
      <c r="AH23" s="18"/>
      <c r="AI23" s="18"/>
      <c r="AJ23" s="19"/>
      <c r="AK23" s="18">
        <f t="shared" si="9"/>
        <v>0</v>
      </c>
      <c r="AL23" s="18">
        <f t="shared" si="10"/>
        <v>0</v>
      </c>
      <c r="AM23" s="18">
        <f t="shared" si="11"/>
        <v>0</v>
      </c>
      <c r="AN23" s="19"/>
      <c r="AO23" s="55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2"/>
      <c r="BC23" s="32"/>
      <c r="BD23" s="32"/>
      <c r="BE23" s="32"/>
      <c r="BF23" s="32"/>
      <c r="BG23" s="32"/>
    </row>
    <row r="24" spans="1:59" ht="59.25" customHeight="1">
      <c r="A24" s="14"/>
      <c r="B24" s="155" t="s">
        <v>2</v>
      </c>
      <c r="C24" s="155"/>
      <c r="D24" s="155"/>
      <c r="E24" s="20"/>
      <c r="F24" s="65"/>
      <c r="G24" s="40">
        <f t="shared" ref="G24:P24" si="12">COUNT(G7:G18)</f>
        <v>0</v>
      </c>
      <c r="H24" s="40">
        <f t="shared" si="12"/>
        <v>0</v>
      </c>
      <c r="I24" s="40">
        <f t="shared" si="12"/>
        <v>0</v>
      </c>
      <c r="J24" s="40">
        <f t="shared" si="12"/>
        <v>0</v>
      </c>
      <c r="K24" s="40">
        <f t="shared" si="12"/>
        <v>0</v>
      </c>
      <c r="L24" s="40">
        <f t="shared" si="12"/>
        <v>0</v>
      </c>
      <c r="M24" s="40">
        <f t="shared" si="12"/>
        <v>0</v>
      </c>
      <c r="N24" s="40">
        <f t="shared" si="12"/>
        <v>0</v>
      </c>
      <c r="O24" s="40">
        <f t="shared" si="12"/>
        <v>0</v>
      </c>
      <c r="P24" s="40">
        <f t="shared" si="12"/>
        <v>0</v>
      </c>
      <c r="Q24" s="40"/>
      <c r="R24" s="40"/>
      <c r="S24" s="40">
        <f t="shared" ref="S24:AF24" si="13">COUNT(S7:S18)</f>
        <v>8</v>
      </c>
      <c r="T24" s="40">
        <f t="shared" si="13"/>
        <v>0</v>
      </c>
      <c r="U24" s="40">
        <f t="shared" si="13"/>
        <v>0</v>
      </c>
      <c r="V24" s="40">
        <f t="shared" si="13"/>
        <v>0</v>
      </c>
      <c r="W24" s="40">
        <f t="shared" si="13"/>
        <v>10</v>
      </c>
      <c r="X24" s="40">
        <f t="shared" si="13"/>
        <v>0</v>
      </c>
      <c r="Y24" s="40">
        <f t="shared" si="13"/>
        <v>12</v>
      </c>
      <c r="Z24" s="40">
        <f t="shared" si="13"/>
        <v>0</v>
      </c>
      <c r="AA24" s="40">
        <f t="shared" si="13"/>
        <v>10</v>
      </c>
      <c r="AB24" s="40">
        <f t="shared" si="13"/>
        <v>0</v>
      </c>
      <c r="AC24" s="40">
        <f t="shared" si="13"/>
        <v>11</v>
      </c>
      <c r="AD24" s="40">
        <f t="shared" si="13"/>
        <v>0</v>
      </c>
      <c r="AE24" s="40">
        <f t="shared" si="13"/>
        <v>9</v>
      </c>
      <c r="AF24" s="40">
        <f t="shared" si="13"/>
        <v>0</v>
      </c>
      <c r="AG24" s="18">
        <f>SUM(AG7:AG18)</f>
        <v>0</v>
      </c>
      <c r="AH24" s="18">
        <f>SUM(AH7:AH18)</f>
        <v>0</v>
      </c>
      <c r="AI24" s="18">
        <f>SUM(AI7:AI18)</f>
        <v>0</v>
      </c>
      <c r="AJ24" s="18">
        <f>SUM(AJ7:AJ18)</f>
        <v>0</v>
      </c>
      <c r="AK24" s="18">
        <f>SUM(AK7:AK20)</f>
        <v>534.5</v>
      </c>
      <c r="AL24" s="18">
        <f>SUM(AL7:AL22)</f>
        <v>4</v>
      </c>
      <c r="AM24" s="18">
        <f>SUM(AM7:AM18)</f>
        <v>0</v>
      </c>
      <c r="AN24" s="18"/>
      <c r="AO24" s="21"/>
    </row>
    <row r="25" spans="1:59" ht="22.8">
      <c r="A25" s="61"/>
      <c r="B25" s="42"/>
      <c r="C25" s="23"/>
      <c r="D25" s="22"/>
      <c r="E25" s="22"/>
      <c r="F25" s="66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25"/>
      <c r="AH25" s="25"/>
      <c r="AI25" s="25"/>
      <c r="AJ25" s="25"/>
      <c r="AK25" s="25"/>
      <c r="AL25" s="25"/>
      <c r="AM25" s="25"/>
      <c r="AN25" s="25"/>
      <c r="AO25" s="25"/>
    </row>
    <row r="26" spans="1:59" ht="22.8">
      <c r="A26" s="61"/>
      <c r="B26" s="30"/>
      <c r="C26" s="30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25"/>
      <c r="AH26" s="25"/>
      <c r="AI26" s="25"/>
      <c r="AJ26" s="25"/>
      <c r="AK26" s="25"/>
      <c r="AL26" s="25"/>
      <c r="AM26" s="25"/>
      <c r="AN26" s="25"/>
      <c r="AO26" s="25"/>
    </row>
    <row r="27" spans="1:59" ht="22.8">
      <c r="A27" s="61"/>
      <c r="B27" s="42"/>
      <c r="C27" s="23"/>
      <c r="D27" s="22"/>
      <c r="E27" s="22"/>
      <c r="F27" s="66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25"/>
      <c r="AH27" s="25"/>
      <c r="AI27" s="25"/>
      <c r="AJ27" s="25"/>
      <c r="AK27" s="25"/>
      <c r="AL27" s="25"/>
      <c r="AM27" s="25"/>
      <c r="AN27" s="25"/>
      <c r="AO27" s="25"/>
    </row>
    <row r="28" spans="1:59" ht="22.8">
      <c r="A28" s="61"/>
      <c r="B28" s="42"/>
      <c r="C28" s="23"/>
      <c r="D28" s="22"/>
      <c r="E28" s="22"/>
      <c r="F28" s="66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25"/>
      <c r="AH28" s="25"/>
      <c r="AI28" s="25"/>
      <c r="AJ28" s="25"/>
      <c r="AK28" s="25"/>
      <c r="AL28" s="25"/>
      <c r="AM28" s="25"/>
      <c r="AN28" s="25"/>
      <c r="AO28" s="25"/>
    </row>
    <row r="29" spans="1:59" ht="22.8">
      <c r="A29" s="61"/>
      <c r="B29" s="42"/>
      <c r="C29" s="23"/>
      <c r="D29" s="22"/>
      <c r="E29" s="22"/>
      <c r="F29" s="66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25"/>
      <c r="AH29" s="25"/>
      <c r="AI29" s="25"/>
      <c r="AJ29" s="25"/>
      <c r="AK29" s="25"/>
      <c r="AL29" s="25"/>
      <c r="AM29" s="25"/>
      <c r="AN29" s="25"/>
      <c r="AO29" s="25"/>
    </row>
    <row r="30" spans="1:59" ht="22.8">
      <c r="A30" s="61"/>
      <c r="B30" s="42"/>
      <c r="C30" s="23"/>
      <c r="D30" s="22"/>
      <c r="E30" s="22"/>
      <c r="F30" s="66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25"/>
      <c r="AH30" s="25"/>
      <c r="AI30" s="25"/>
      <c r="AJ30" s="25"/>
      <c r="AK30" s="25"/>
      <c r="AL30" s="25"/>
      <c r="AM30" s="25"/>
      <c r="AN30" s="25"/>
      <c r="AO30" s="25"/>
    </row>
    <row r="31" spans="1:59" ht="22.8">
      <c r="A31" s="61"/>
      <c r="B31" s="42"/>
      <c r="C31" s="23"/>
      <c r="D31" s="22" t="s">
        <v>17</v>
      </c>
      <c r="E31" s="22"/>
      <c r="F31" s="66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25"/>
      <c r="AH31" s="25"/>
      <c r="AI31" s="25"/>
      <c r="AJ31" s="25"/>
      <c r="AK31" s="25"/>
      <c r="AL31" s="25"/>
      <c r="AM31" s="25"/>
      <c r="AN31" s="25"/>
      <c r="AO31" s="25"/>
    </row>
    <row r="32" spans="1:59" ht="22.8">
      <c r="A32" s="61"/>
      <c r="B32" s="42"/>
      <c r="C32" s="23"/>
      <c r="D32" s="26" t="s">
        <v>25</v>
      </c>
      <c r="E32" s="22"/>
      <c r="F32" s="66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25"/>
      <c r="AH32" s="25"/>
      <c r="AI32" s="25"/>
      <c r="AJ32" s="25"/>
      <c r="AK32" s="25"/>
      <c r="AL32" s="25"/>
      <c r="AM32" s="25"/>
      <c r="AN32" s="25"/>
      <c r="AO32" s="25"/>
    </row>
    <row r="33" spans="1:41" ht="22.8">
      <c r="A33" s="61"/>
      <c r="B33" s="42"/>
      <c r="C33" s="23"/>
      <c r="D33" s="22"/>
      <c r="E33" s="22"/>
      <c r="F33" s="66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25"/>
      <c r="AH33" s="25"/>
      <c r="AI33" s="25"/>
      <c r="AJ33" s="25"/>
      <c r="AK33" s="25"/>
      <c r="AL33" s="25"/>
      <c r="AM33" s="25"/>
      <c r="AN33" s="25"/>
      <c r="AO33" s="25"/>
    </row>
    <row r="34" spans="1:41" ht="22.8">
      <c r="A34" s="61"/>
      <c r="B34" s="42"/>
      <c r="C34" s="23"/>
      <c r="D34" s="22"/>
      <c r="E34" s="22"/>
      <c r="F34" s="66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25"/>
      <c r="AH34" s="25"/>
      <c r="AI34" s="25"/>
      <c r="AJ34" s="25"/>
      <c r="AK34" s="25"/>
      <c r="AL34" s="25"/>
      <c r="AM34" s="25"/>
      <c r="AN34" s="25"/>
      <c r="AO34" s="25"/>
    </row>
    <row r="35" spans="1:41" ht="22.8">
      <c r="A35" s="61"/>
      <c r="B35" s="42"/>
      <c r="C35" s="23"/>
      <c r="D35" s="22"/>
      <c r="E35" s="22"/>
      <c r="F35" s="66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25"/>
      <c r="AH35" s="25"/>
      <c r="AI35" s="25"/>
      <c r="AJ35" s="25"/>
      <c r="AK35" s="25"/>
      <c r="AL35" s="25"/>
      <c r="AM35" s="25"/>
      <c r="AN35" s="25"/>
      <c r="AO35" s="25"/>
    </row>
    <row r="36" spans="1:41" s="35" customFormat="1" ht="116.25" customHeight="1">
      <c r="A36" s="62"/>
      <c r="B36" s="43"/>
      <c r="C36" s="28"/>
      <c r="D36" s="27" t="s">
        <v>18</v>
      </c>
      <c r="E36" s="27"/>
      <c r="F36" s="68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34"/>
      <c r="AH36" s="34"/>
      <c r="AI36" s="34"/>
      <c r="AJ36" s="34"/>
      <c r="AK36" s="34"/>
      <c r="AL36" s="34"/>
      <c r="AM36" s="34"/>
      <c r="AN36" s="34"/>
      <c r="AO36" s="34"/>
    </row>
    <row r="37" spans="1:41" ht="22.8">
      <c r="A37" s="61"/>
      <c r="B37" s="42"/>
      <c r="C37" s="23"/>
      <c r="D37" s="22"/>
      <c r="E37" s="22"/>
      <c r="F37" s="66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25"/>
      <c r="AH37" s="25"/>
      <c r="AI37" s="25"/>
      <c r="AJ37" s="25"/>
      <c r="AK37" s="25"/>
      <c r="AL37" s="25"/>
      <c r="AM37" s="25"/>
      <c r="AN37" s="25"/>
      <c r="AO37" s="25"/>
    </row>
    <row r="38" spans="1:41" ht="22.8">
      <c r="A38" s="61"/>
      <c r="B38" s="42"/>
      <c r="C38" s="23"/>
      <c r="D38" s="22"/>
      <c r="E38" s="22"/>
      <c r="F38" s="66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25"/>
      <c r="AH38" s="25"/>
      <c r="AI38" s="25"/>
      <c r="AJ38" s="25"/>
      <c r="AK38" s="25"/>
      <c r="AL38" s="25"/>
      <c r="AM38" s="25"/>
      <c r="AN38" s="25"/>
      <c r="AO38" s="25"/>
    </row>
    <row r="39" spans="1:41" ht="22.8">
      <c r="A39" s="61"/>
      <c r="B39" s="42"/>
      <c r="C39" s="23"/>
      <c r="D39" s="22"/>
      <c r="E39" s="22"/>
      <c r="F39" s="66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25"/>
      <c r="AH39" s="25"/>
      <c r="AI39" s="25"/>
      <c r="AJ39" s="25"/>
      <c r="AK39" s="25"/>
      <c r="AL39" s="25"/>
      <c r="AM39" s="25"/>
      <c r="AN39" s="25"/>
      <c r="AO39" s="25"/>
    </row>
    <row r="40" spans="1:41" ht="33" customHeight="1">
      <c r="A40" s="61"/>
      <c r="B40" s="42"/>
      <c r="C40" s="23"/>
      <c r="D40" s="22"/>
      <c r="E40" s="22"/>
      <c r="F40" s="66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25"/>
      <c r="AH40" s="25"/>
      <c r="AI40" s="25"/>
      <c r="AJ40" s="25"/>
      <c r="AK40" s="25"/>
      <c r="AL40" s="25"/>
      <c r="AM40" s="25"/>
      <c r="AN40" s="25"/>
      <c r="AO40" s="25"/>
    </row>
    <row r="41" spans="1:41" ht="33" customHeight="1">
      <c r="A41" s="61"/>
      <c r="B41" s="42"/>
      <c r="C41" s="23"/>
      <c r="D41" s="22"/>
      <c r="E41" s="22"/>
      <c r="F41" s="66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25"/>
      <c r="AH41" s="25"/>
      <c r="AI41" s="25"/>
      <c r="AJ41" s="25"/>
      <c r="AK41" s="25"/>
      <c r="AL41" s="25"/>
      <c r="AM41" s="25"/>
      <c r="AN41" s="25"/>
      <c r="AO41" s="25"/>
    </row>
    <row r="42" spans="1:41" ht="22.8"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6"/>
      <c r="AH42" s="36"/>
      <c r="AI42" s="36"/>
      <c r="AJ42" s="36"/>
      <c r="AK42" s="36"/>
      <c r="AL42" s="36"/>
      <c r="AM42" s="36"/>
      <c r="AN42" s="36"/>
      <c r="AO42" s="36"/>
    </row>
    <row r="43" spans="1:41" ht="22.8"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6"/>
      <c r="AH43" s="36"/>
      <c r="AI43" s="36"/>
      <c r="AJ43" s="36"/>
      <c r="AK43" s="36"/>
      <c r="AL43" s="36"/>
      <c r="AM43" s="36"/>
      <c r="AN43" s="36"/>
      <c r="AO43" s="36"/>
    </row>
    <row r="44" spans="1:41" ht="22.8"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6"/>
      <c r="AH44" s="36"/>
      <c r="AI44" s="36"/>
      <c r="AJ44" s="36"/>
      <c r="AK44" s="36"/>
      <c r="AL44" s="36"/>
      <c r="AM44" s="36"/>
      <c r="AN44" s="36"/>
      <c r="AO44" s="36"/>
    </row>
    <row r="45" spans="1:41" ht="22.8"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6"/>
      <c r="AH45" s="36"/>
      <c r="AI45" s="36"/>
      <c r="AJ45" s="36"/>
      <c r="AK45" s="36"/>
      <c r="AL45" s="36"/>
      <c r="AM45" s="36"/>
      <c r="AN45" s="36"/>
      <c r="AO45" s="36"/>
    </row>
    <row r="46" spans="1:41" ht="22.8"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6"/>
      <c r="AH46" s="36"/>
      <c r="AI46" s="36"/>
      <c r="AJ46" s="36"/>
      <c r="AK46" s="36"/>
      <c r="AL46" s="36"/>
      <c r="AM46" s="36"/>
      <c r="AN46" s="36"/>
      <c r="AO46" s="36"/>
    </row>
    <row r="47" spans="1:41" ht="22.8"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6"/>
      <c r="AH47" s="36"/>
      <c r="AI47" s="36"/>
      <c r="AJ47" s="36"/>
      <c r="AK47" s="36"/>
      <c r="AL47" s="36"/>
      <c r="AM47" s="36"/>
      <c r="AN47" s="36"/>
      <c r="AO47" s="36"/>
    </row>
    <row r="48" spans="1:41" ht="22.8"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6"/>
      <c r="AH48" s="36"/>
      <c r="AI48" s="36"/>
      <c r="AJ48" s="36"/>
      <c r="AK48" s="36"/>
      <c r="AL48" s="36"/>
      <c r="AM48" s="36"/>
      <c r="AN48" s="36"/>
      <c r="AO48" s="36"/>
    </row>
    <row r="49" spans="7:41" ht="22.8"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6"/>
      <c r="AH49" s="36"/>
      <c r="AI49" s="36"/>
      <c r="AJ49" s="36"/>
      <c r="AK49" s="36"/>
      <c r="AL49" s="36"/>
      <c r="AM49" s="36"/>
      <c r="AN49" s="36"/>
      <c r="AO49" s="36"/>
    </row>
    <row r="50" spans="7:41" ht="22.8"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6"/>
      <c r="AH50" s="36"/>
      <c r="AI50" s="36"/>
      <c r="AJ50" s="36"/>
      <c r="AK50" s="36"/>
      <c r="AL50" s="36"/>
      <c r="AM50" s="36"/>
      <c r="AN50" s="36"/>
      <c r="AO50" s="36"/>
    </row>
    <row r="51" spans="7:41" ht="22.8"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6"/>
      <c r="AH51" s="36"/>
      <c r="AI51" s="36"/>
      <c r="AJ51" s="36"/>
      <c r="AK51" s="36"/>
      <c r="AL51" s="36"/>
      <c r="AM51" s="36"/>
      <c r="AN51" s="36"/>
      <c r="AO51" s="36"/>
    </row>
    <row r="52" spans="7:41" ht="22.8"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6"/>
      <c r="AH52" s="36"/>
      <c r="AI52" s="36"/>
      <c r="AJ52" s="36"/>
      <c r="AK52" s="36"/>
      <c r="AL52" s="36"/>
      <c r="AM52" s="36"/>
      <c r="AN52" s="36"/>
      <c r="AO52" s="36"/>
    </row>
    <row r="53" spans="7:41" ht="22.8"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6"/>
      <c r="AH53" s="36"/>
      <c r="AI53" s="36"/>
      <c r="AJ53" s="36"/>
      <c r="AK53" s="36"/>
      <c r="AL53" s="36"/>
      <c r="AM53" s="36"/>
      <c r="AN53" s="36"/>
      <c r="AO53" s="36"/>
    </row>
    <row r="54" spans="7:41" ht="22.8"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6"/>
      <c r="AH54" s="36"/>
      <c r="AI54" s="36"/>
      <c r="AJ54" s="36"/>
      <c r="AK54" s="36"/>
      <c r="AL54" s="36"/>
      <c r="AM54" s="36"/>
      <c r="AN54" s="36"/>
      <c r="AO54" s="36"/>
    </row>
    <row r="55" spans="7:41" ht="22.8"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6"/>
      <c r="AH55" s="36"/>
      <c r="AI55" s="36"/>
      <c r="AJ55" s="36"/>
      <c r="AK55" s="36"/>
      <c r="AL55" s="36"/>
      <c r="AM55" s="36"/>
      <c r="AN55" s="36"/>
      <c r="AO55" s="36"/>
    </row>
    <row r="56" spans="7:41" ht="22.8"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6"/>
      <c r="AH56" s="36"/>
      <c r="AI56" s="36"/>
      <c r="AJ56" s="36"/>
      <c r="AK56" s="36"/>
      <c r="AL56" s="36"/>
      <c r="AM56" s="36"/>
      <c r="AN56" s="36"/>
      <c r="AO56" s="36"/>
    </row>
    <row r="57" spans="7:41" ht="22.8"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6"/>
      <c r="AH57" s="36"/>
      <c r="AI57" s="36"/>
      <c r="AJ57" s="36"/>
      <c r="AK57" s="36"/>
      <c r="AL57" s="36"/>
      <c r="AM57" s="36"/>
      <c r="AN57" s="36"/>
      <c r="AO57" s="36"/>
    </row>
    <row r="58" spans="7:41" ht="22.8"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6"/>
      <c r="AH58" s="36"/>
      <c r="AI58" s="36"/>
      <c r="AJ58" s="36"/>
      <c r="AK58" s="36"/>
      <c r="AL58" s="36"/>
      <c r="AM58" s="36"/>
      <c r="AN58" s="36"/>
      <c r="AO58" s="36"/>
    </row>
    <row r="59" spans="7:41" ht="22.8"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6"/>
      <c r="AH59" s="36"/>
      <c r="AI59" s="36"/>
      <c r="AJ59" s="36"/>
      <c r="AK59" s="36"/>
      <c r="AL59" s="36"/>
      <c r="AM59" s="36"/>
      <c r="AN59" s="36"/>
      <c r="AO59" s="36"/>
    </row>
    <row r="60" spans="7:41" ht="22.8"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6"/>
      <c r="AH60" s="36"/>
      <c r="AI60" s="36"/>
      <c r="AJ60" s="36"/>
      <c r="AK60" s="36"/>
      <c r="AL60" s="36"/>
      <c r="AM60" s="36"/>
      <c r="AN60" s="36"/>
      <c r="AO60" s="36"/>
    </row>
    <row r="61" spans="7:41" ht="22.8"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6"/>
      <c r="AH61" s="36"/>
      <c r="AI61" s="36"/>
      <c r="AJ61" s="36"/>
      <c r="AK61" s="36"/>
      <c r="AL61" s="36"/>
      <c r="AM61" s="36"/>
      <c r="AN61" s="36"/>
      <c r="AO61" s="36"/>
    </row>
    <row r="62" spans="7:41" ht="22.8"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6"/>
      <c r="AH62" s="36"/>
      <c r="AI62" s="36"/>
      <c r="AJ62" s="36"/>
      <c r="AK62" s="36"/>
      <c r="AL62" s="36"/>
      <c r="AM62" s="36"/>
      <c r="AN62" s="36"/>
      <c r="AO62" s="36"/>
    </row>
    <row r="63" spans="7:41" ht="22.8"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6"/>
      <c r="AH63" s="36"/>
      <c r="AI63" s="36"/>
      <c r="AJ63" s="36"/>
      <c r="AK63" s="36"/>
      <c r="AL63" s="36"/>
      <c r="AM63" s="36"/>
      <c r="AN63" s="36"/>
      <c r="AO63" s="36"/>
    </row>
    <row r="64" spans="7:41" ht="22.8"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6"/>
      <c r="AH64" s="36"/>
      <c r="AI64" s="36"/>
      <c r="AJ64" s="36"/>
      <c r="AK64" s="36"/>
      <c r="AL64" s="36"/>
      <c r="AM64" s="36"/>
      <c r="AN64" s="36"/>
      <c r="AO64" s="36"/>
    </row>
    <row r="65" spans="7:41" ht="22.8"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6"/>
      <c r="AH65" s="36"/>
      <c r="AI65" s="36"/>
      <c r="AJ65" s="36"/>
      <c r="AK65" s="36"/>
      <c r="AL65" s="36"/>
      <c r="AM65" s="36"/>
      <c r="AN65" s="36"/>
      <c r="AO65" s="36"/>
    </row>
    <row r="66" spans="7:41" ht="22.8"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6"/>
      <c r="AH66" s="36"/>
      <c r="AI66" s="36"/>
      <c r="AJ66" s="36"/>
      <c r="AK66" s="36"/>
      <c r="AL66" s="36"/>
      <c r="AM66" s="36"/>
      <c r="AN66" s="36"/>
      <c r="AO66" s="36"/>
    </row>
    <row r="67" spans="7:41" ht="22.8"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6"/>
      <c r="AH67" s="36"/>
      <c r="AI67" s="36"/>
      <c r="AJ67" s="36"/>
      <c r="AK67" s="36"/>
      <c r="AL67" s="36"/>
      <c r="AM67" s="36"/>
      <c r="AN67" s="36"/>
      <c r="AO67" s="36"/>
    </row>
    <row r="68" spans="7:41" ht="22.8"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6"/>
      <c r="AH68" s="36"/>
      <c r="AI68" s="36"/>
      <c r="AJ68" s="36"/>
      <c r="AK68" s="36"/>
      <c r="AL68" s="36"/>
      <c r="AM68" s="36"/>
      <c r="AN68" s="36"/>
      <c r="AO68" s="36"/>
    </row>
    <row r="69" spans="7:41" ht="22.8"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6"/>
      <c r="AH69" s="36"/>
      <c r="AI69" s="36"/>
      <c r="AJ69" s="36"/>
      <c r="AK69" s="36"/>
      <c r="AL69" s="36"/>
      <c r="AM69" s="36"/>
      <c r="AN69" s="36"/>
      <c r="AO69" s="36"/>
    </row>
    <row r="70" spans="7:41" ht="22.8"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6"/>
      <c r="AH70" s="36"/>
      <c r="AI70" s="36"/>
      <c r="AJ70" s="36"/>
      <c r="AK70" s="36"/>
      <c r="AL70" s="36"/>
      <c r="AM70" s="36"/>
      <c r="AN70" s="36"/>
      <c r="AO70" s="36"/>
    </row>
    <row r="71" spans="7:41" ht="22.8"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6"/>
      <c r="AH71" s="36"/>
      <c r="AI71" s="36"/>
      <c r="AJ71" s="36"/>
      <c r="AK71" s="36"/>
      <c r="AL71" s="36"/>
      <c r="AM71" s="36"/>
      <c r="AN71" s="36"/>
      <c r="AO71" s="36"/>
    </row>
    <row r="72" spans="7:41" ht="22.8"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6"/>
      <c r="AH72" s="36"/>
      <c r="AI72" s="36"/>
      <c r="AJ72" s="36"/>
      <c r="AK72" s="36"/>
      <c r="AL72" s="36"/>
      <c r="AM72" s="36"/>
      <c r="AN72" s="36"/>
      <c r="AO72" s="36"/>
    </row>
    <row r="73" spans="7:41" ht="22.8"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6"/>
      <c r="AH73" s="36"/>
      <c r="AI73" s="36"/>
      <c r="AJ73" s="36"/>
      <c r="AK73" s="36"/>
      <c r="AL73" s="36"/>
      <c r="AM73" s="36"/>
      <c r="AN73" s="36"/>
      <c r="AO73" s="36"/>
    </row>
    <row r="74" spans="7:41" ht="22.8"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6"/>
      <c r="AH74" s="36"/>
      <c r="AI74" s="36"/>
      <c r="AJ74" s="36"/>
      <c r="AK74" s="36"/>
      <c r="AL74" s="36"/>
      <c r="AM74" s="36"/>
      <c r="AN74" s="36"/>
      <c r="AO74" s="36"/>
    </row>
    <row r="75" spans="7:41" ht="22.8"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6"/>
      <c r="AH75" s="36"/>
      <c r="AI75" s="36"/>
      <c r="AJ75" s="36"/>
      <c r="AK75" s="36"/>
      <c r="AL75" s="36"/>
      <c r="AM75" s="36"/>
      <c r="AN75" s="36"/>
      <c r="AO75" s="36"/>
    </row>
    <row r="76" spans="7:41" ht="22.8"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6"/>
      <c r="AH76" s="36"/>
      <c r="AI76" s="36"/>
      <c r="AJ76" s="36"/>
      <c r="AK76" s="36"/>
      <c r="AL76" s="36"/>
      <c r="AM76" s="36"/>
      <c r="AN76" s="36"/>
      <c r="AO76" s="36"/>
    </row>
    <row r="77" spans="7:41" ht="22.8"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6"/>
      <c r="AH77" s="36"/>
      <c r="AI77" s="36"/>
      <c r="AJ77" s="36"/>
      <c r="AK77" s="36"/>
      <c r="AL77" s="36"/>
      <c r="AM77" s="36"/>
      <c r="AN77" s="36"/>
      <c r="AO77" s="36"/>
    </row>
    <row r="78" spans="7:41" ht="22.8"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6"/>
      <c r="AH78" s="36"/>
      <c r="AI78" s="36"/>
      <c r="AJ78" s="36"/>
      <c r="AK78" s="36"/>
      <c r="AL78" s="36"/>
      <c r="AM78" s="36"/>
      <c r="AN78" s="36"/>
      <c r="AO78" s="36"/>
    </row>
    <row r="79" spans="7:41" ht="22.8"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6"/>
      <c r="AH79" s="36"/>
      <c r="AI79" s="36"/>
      <c r="AJ79" s="36"/>
      <c r="AK79" s="36"/>
      <c r="AL79" s="36"/>
      <c r="AM79" s="36"/>
      <c r="AN79" s="36"/>
      <c r="AO79" s="36"/>
    </row>
    <row r="80" spans="7:41" ht="22.8"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6"/>
      <c r="AH80" s="36"/>
      <c r="AI80" s="36"/>
      <c r="AJ80" s="36"/>
      <c r="AK80" s="36"/>
      <c r="AL80" s="36"/>
      <c r="AM80" s="36"/>
      <c r="AN80" s="36"/>
      <c r="AO80" s="36"/>
    </row>
    <row r="81" spans="7:41" ht="22.8"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6"/>
      <c r="AH81" s="36"/>
      <c r="AI81" s="36"/>
      <c r="AJ81" s="36"/>
      <c r="AK81" s="36"/>
      <c r="AL81" s="36"/>
      <c r="AM81" s="36"/>
      <c r="AN81" s="36"/>
      <c r="AO81" s="36"/>
    </row>
    <row r="82" spans="7:41" ht="22.8"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6"/>
      <c r="AH82" s="36"/>
      <c r="AI82" s="36"/>
      <c r="AJ82" s="36"/>
      <c r="AK82" s="36"/>
      <c r="AL82" s="36"/>
      <c r="AM82" s="36"/>
      <c r="AN82" s="36"/>
      <c r="AO82" s="36"/>
    </row>
    <row r="83" spans="7:41" ht="22.8"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6"/>
      <c r="AH83" s="36"/>
      <c r="AI83" s="36"/>
      <c r="AJ83" s="36"/>
      <c r="AK83" s="36"/>
      <c r="AL83" s="36"/>
      <c r="AM83" s="36"/>
      <c r="AN83" s="36"/>
      <c r="AO83" s="36"/>
    </row>
    <row r="84" spans="7:41" ht="22.8"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6"/>
      <c r="AH84" s="36"/>
      <c r="AI84" s="36"/>
      <c r="AJ84" s="36"/>
      <c r="AK84" s="36"/>
      <c r="AL84" s="36"/>
      <c r="AM84" s="36"/>
      <c r="AN84" s="36"/>
      <c r="AO84" s="36"/>
    </row>
    <row r="85" spans="7:41" ht="22.8"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6"/>
      <c r="AH85" s="36"/>
      <c r="AI85" s="36"/>
      <c r="AJ85" s="36"/>
      <c r="AK85" s="36"/>
      <c r="AL85" s="36"/>
      <c r="AM85" s="36"/>
      <c r="AN85" s="36"/>
      <c r="AO85" s="36"/>
    </row>
    <row r="86" spans="7:41" ht="22.8"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6"/>
      <c r="AH86" s="36"/>
      <c r="AI86" s="36"/>
      <c r="AJ86" s="36"/>
      <c r="AK86" s="36"/>
      <c r="AL86" s="36"/>
      <c r="AM86" s="36"/>
      <c r="AN86" s="36"/>
      <c r="AO86" s="36"/>
    </row>
    <row r="87" spans="7:41" ht="22.8"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6"/>
      <c r="AH87" s="36"/>
      <c r="AI87" s="36"/>
      <c r="AJ87" s="36"/>
      <c r="AK87" s="36"/>
      <c r="AL87" s="36"/>
      <c r="AM87" s="36"/>
      <c r="AN87" s="36"/>
      <c r="AO87" s="36"/>
    </row>
    <row r="88" spans="7:41" ht="22.8"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6"/>
      <c r="AH88" s="36"/>
      <c r="AI88" s="36"/>
      <c r="AJ88" s="36"/>
      <c r="AK88" s="36"/>
      <c r="AL88" s="36"/>
      <c r="AM88" s="36"/>
      <c r="AN88" s="36"/>
      <c r="AO88" s="36"/>
    </row>
    <row r="89" spans="7:41" ht="22.8"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6"/>
      <c r="AH89" s="36"/>
      <c r="AI89" s="36"/>
      <c r="AJ89" s="36"/>
      <c r="AK89" s="36"/>
      <c r="AL89" s="36"/>
      <c r="AM89" s="36"/>
      <c r="AN89" s="36"/>
      <c r="AO89" s="36"/>
    </row>
    <row r="90" spans="7:41" ht="22.8"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6"/>
      <c r="AH90" s="36"/>
      <c r="AI90" s="36"/>
      <c r="AJ90" s="36"/>
      <c r="AK90" s="36"/>
      <c r="AL90" s="36"/>
      <c r="AM90" s="36"/>
      <c r="AN90" s="36"/>
      <c r="AO90" s="36"/>
    </row>
    <row r="91" spans="7:41" ht="22.8"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6"/>
      <c r="AH91" s="36"/>
      <c r="AI91" s="36"/>
      <c r="AJ91" s="36"/>
      <c r="AK91" s="36"/>
      <c r="AL91" s="36"/>
      <c r="AM91" s="36"/>
      <c r="AN91" s="36"/>
      <c r="AO91" s="36"/>
    </row>
    <row r="92" spans="7:41" ht="22.8"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6"/>
      <c r="AH92" s="36"/>
      <c r="AI92" s="36"/>
      <c r="AJ92" s="36"/>
      <c r="AK92" s="36"/>
      <c r="AL92" s="36"/>
      <c r="AM92" s="36"/>
      <c r="AN92" s="36"/>
      <c r="AO92" s="36"/>
    </row>
    <row r="93" spans="7:41" ht="22.8"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6"/>
      <c r="AH93" s="36"/>
      <c r="AI93" s="36"/>
      <c r="AJ93" s="36"/>
      <c r="AK93" s="36"/>
      <c r="AL93" s="36"/>
      <c r="AM93" s="36"/>
      <c r="AN93" s="36"/>
      <c r="AO93" s="36"/>
    </row>
    <row r="94" spans="7:41" ht="22.8"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6"/>
      <c r="AH94" s="36"/>
      <c r="AI94" s="36"/>
      <c r="AJ94" s="36"/>
      <c r="AK94" s="36"/>
      <c r="AL94" s="36"/>
      <c r="AM94" s="36"/>
      <c r="AN94" s="36"/>
      <c r="AO94" s="36"/>
    </row>
    <row r="95" spans="7:41" ht="22.8"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6"/>
      <c r="AH95" s="36"/>
      <c r="AI95" s="36"/>
      <c r="AJ95" s="36"/>
      <c r="AK95" s="36"/>
      <c r="AL95" s="36"/>
      <c r="AM95" s="36"/>
      <c r="AN95" s="36"/>
      <c r="AO95" s="36"/>
    </row>
    <row r="96" spans="7:41" ht="22.8"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6"/>
      <c r="AH96" s="36"/>
      <c r="AI96" s="36"/>
      <c r="AJ96" s="36"/>
      <c r="AK96" s="36"/>
      <c r="AL96" s="36"/>
      <c r="AM96" s="36"/>
      <c r="AN96" s="36"/>
      <c r="AO96" s="36"/>
    </row>
    <row r="97" spans="7:41" ht="22.8"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6"/>
      <c r="AH97" s="36"/>
      <c r="AI97" s="36"/>
      <c r="AJ97" s="36"/>
      <c r="AK97" s="36"/>
      <c r="AL97" s="36"/>
      <c r="AM97" s="36"/>
      <c r="AN97" s="36"/>
      <c r="AO97" s="36"/>
    </row>
    <row r="98" spans="7:41" ht="22.8"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6"/>
      <c r="AH98" s="36"/>
      <c r="AI98" s="36"/>
      <c r="AJ98" s="36"/>
      <c r="AK98" s="36"/>
      <c r="AL98" s="36"/>
      <c r="AM98" s="36"/>
      <c r="AN98" s="36"/>
      <c r="AO98" s="36"/>
    </row>
    <row r="99" spans="7:41" ht="22.8"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6"/>
      <c r="AH99" s="36"/>
      <c r="AI99" s="36"/>
      <c r="AJ99" s="36"/>
      <c r="AK99" s="36"/>
      <c r="AL99" s="36"/>
      <c r="AM99" s="36"/>
      <c r="AN99" s="36"/>
      <c r="AO99" s="36"/>
    </row>
    <row r="100" spans="7:41" ht="22.8"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6"/>
      <c r="AH100" s="36"/>
      <c r="AI100" s="36"/>
      <c r="AJ100" s="36"/>
      <c r="AK100" s="36"/>
      <c r="AL100" s="36"/>
      <c r="AM100" s="36"/>
      <c r="AN100" s="36"/>
      <c r="AO100" s="36"/>
    </row>
    <row r="101" spans="7:41" ht="22.8"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6"/>
      <c r="AH101" s="36"/>
      <c r="AI101" s="36"/>
      <c r="AJ101" s="36"/>
      <c r="AK101" s="36"/>
      <c r="AL101" s="36"/>
      <c r="AM101" s="36"/>
      <c r="AN101" s="36"/>
      <c r="AO101" s="36"/>
    </row>
    <row r="102" spans="7:41" ht="22.8"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6"/>
      <c r="AH102" s="36"/>
      <c r="AI102" s="36"/>
      <c r="AJ102" s="36"/>
      <c r="AK102" s="36"/>
      <c r="AL102" s="36"/>
      <c r="AM102" s="36"/>
      <c r="AN102" s="36"/>
      <c r="AO102" s="36"/>
    </row>
    <row r="103" spans="7:41" ht="22.8"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6"/>
      <c r="AH103" s="36"/>
      <c r="AI103" s="36"/>
      <c r="AJ103" s="36"/>
      <c r="AK103" s="36"/>
      <c r="AL103" s="36"/>
      <c r="AM103" s="36"/>
      <c r="AN103" s="36"/>
      <c r="AO103" s="36"/>
    </row>
    <row r="104" spans="7:41" ht="22.8"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6"/>
      <c r="AH104" s="36"/>
      <c r="AI104" s="36"/>
      <c r="AJ104" s="36"/>
      <c r="AK104" s="36"/>
      <c r="AL104" s="36"/>
      <c r="AM104" s="36"/>
      <c r="AN104" s="36"/>
      <c r="AO104" s="36"/>
    </row>
    <row r="105" spans="7:41" ht="22.8"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6"/>
      <c r="AH105" s="36"/>
      <c r="AI105" s="36"/>
      <c r="AJ105" s="36"/>
      <c r="AK105" s="36"/>
      <c r="AL105" s="36"/>
      <c r="AM105" s="36"/>
      <c r="AN105" s="36"/>
      <c r="AO105" s="36"/>
    </row>
    <row r="106" spans="7:41" ht="22.8"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6"/>
      <c r="AH106" s="36"/>
      <c r="AI106" s="36"/>
      <c r="AJ106" s="36"/>
      <c r="AK106" s="36"/>
      <c r="AL106" s="36"/>
      <c r="AM106" s="36"/>
      <c r="AN106" s="36"/>
      <c r="AO106" s="36"/>
    </row>
    <row r="107" spans="7:41" ht="22.8"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6"/>
      <c r="AH107" s="36"/>
      <c r="AI107" s="36"/>
      <c r="AJ107" s="36"/>
      <c r="AK107" s="36"/>
      <c r="AL107" s="36"/>
      <c r="AM107" s="36"/>
      <c r="AN107" s="36"/>
      <c r="AO107" s="36"/>
    </row>
    <row r="108" spans="7:41" ht="22.8"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6"/>
      <c r="AH108" s="36"/>
      <c r="AI108" s="36"/>
      <c r="AJ108" s="36"/>
      <c r="AK108" s="36"/>
      <c r="AL108" s="36"/>
      <c r="AM108" s="36"/>
      <c r="AN108" s="36"/>
      <c r="AO108" s="36"/>
    </row>
    <row r="109" spans="7:41" ht="22.8"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6"/>
      <c r="AH109" s="36"/>
      <c r="AI109" s="36"/>
      <c r="AJ109" s="36"/>
      <c r="AK109" s="36"/>
      <c r="AL109" s="36"/>
      <c r="AM109" s="36"/>
      <c r="AN109" s="36"/>
      <c r="AO109" s="36"/>
    </row>
    <row r="110" spans="7:41" ht="22.8"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6"/>
      <c r="AH110" s="36"/>
      <c r="AI110" s="36"/>
      <c r="AJ110" s="36"/>
      <c r="AK110" s="36"/>
      <c r="AL110" s="36"/>
      <c r="AM110" s="36"/>
      <c r="AN110" s="36"/>
      <c r="AO110" s="36"/>
    </row>
    <row r="111" spans="7:41" ht="22.8"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6"/>
      <c r="AH111" s="36"/>
      <c r="AI111" s="36"/>
      <c r="AJ111" s="36"/>
      <c r="AK111" s="36"/>
      <c r="AL111" s="36"/>
      <c r="AM111" s="36"/>
      <c r="AN111" s="36"/>
      <c r="AO111" s="36"/>
    </row>
    <row r="112" spans="7:41" ht="22.8"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6"/>
      <c r="AH112" s="36"/>
      <c r="AI112" s="36"/>
      <c r="AJ112" s="36"/>
      <c r="AK112" s="36"/>
      <c r="AL112" s="36"/>
      <c r="AM112" s="36"/>
      <c r="AN112" s="36"/>
      <c r="AO112" s="36"/>
    </row>
    <row r="113" spans="7:41" ht="22.8"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6"/>
      <c r="AH113" s="36"/>
      <c r="AI113" s="36"/>
      <c r="AJ113" s="36"/>
      <c r="AK113" s="36"/>
      <c r="AL113" s="36"/>
      <c r="AM113" s="36"/>
      <c r="AN113" s="36"/>
      <c r="AO113" s="36"/>
    </row>
    <row r="114" spans="7:41" ht="22.8"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6"/>
      <c r="AH114" s="36"/>
      <c r="AI114" s="36"/>
      <c r="AJ114" s="36"/>
      <c r="AK114" s="36"/>
      <c r="AL114" s="36"/>
      <c r="AM114" s="36"/>
      <c r="AN114" s="36"/>
      <c r="AO114" s="36"/>
    </row>
    <row r="115" spans="7:41" ht="22.8"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6"/>
      <c r="AH115" s="36"/>
      <c r="AI115" s="36"/>
      <c r="AJ115" s="36"/>
      <c r="AK115" s="36"/>
      <c r="AL115" s="36"/>
      <c r="AM115" s="36"/>
      <c r="AN115" s="36"/>
      <c r="AO115" s="36"/>
    </row>
    <row r="116" spans="7:41" ht="22.8"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6"/>
      <c r="AH116" s="36"/>
      <c r="AI116" s="36"/>
      <c r="AJ116" s="36"/>
      <c r="AK116" s="36"/>
      <c r="AL116" s="36"/>
      <c r="AM116" s="36"/>
      <c r="AN116" s="36"/>
      <c r="AO116" s="36"/>
    </row>
    <row r="117" spans="7:41" ht="22.8"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6"/>
      <c r="AH117" s="36"/>
      <c r="AI117" s="36"/>
      <c r="AJ117" s="36"/>
      <c r="AK117" s="36"/>
      <c r="AL117" s="36"/>
      <c r="AM117" s="36"/>
      <c r="AN117" s="36"/>
      <c r="AO117" s="36"/>
    </row>
    <row r="118" spans="7:41" ht="22.8"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6"/>
      <c r="AH118" s="36"/>
      <c r="AI118" s="36"/>
      <c r="AJ118" s="36"/>
      <c r="AK118" s="36"/>
      <c r="AL118" s="36"/>
      <c r="AM118" s="36"/>
      <c r="AN118" s="36"/>
      <c r="AO118" s="36"/>
    </row>
    <row r="119" spans="7:41" ht="22.8"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6"/>
      <c r="AH119" s="36"/>
      <c r="AI119" s="36"/>
      <c r="AJ119" s="36"/>
      <c r="AK119" s="36"/>
      <c r="AL119" s="36"/>
      <c r="AM119" s="36"/>
      <c r="AN119" s="36"/>
      <c r="AO119" s="36"/>
    </row>
    <row r="120" spans="7:41" ht="22.8"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6"/>
      <c r="AH120" s="36"/>
      <c r="AI120" s="36"/>
      <c r="AJ120" s="36"/>
      <c r="AK120" s="36"/>
      <c r="AL120" s="36"/>
      <c r="AM120" s="36"/>
      <c r="AN120" s="36"/>
      <c r="AO120" s="36"/>
    </row>
    <row r="121" spans="7:41" ht="22.8"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6"/>
      <c r="AH121" s="36"/>
      <c r="AI121" s="36"/>
      <c r="AJ121" s="36"/>
      <c r="AK121" s="36"/>
      <c r="AL121" s="36"/>
      <c r="AM121" s="36"/>
      <c r="AN121" s="36"/>
      <c r="AO121" s="36"/>
    </row>
    <row r="122" spans="7:41" ht="22.8"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6"/>
      <c r="AH122" s="36"/>
      <c r="AI122" s="36"/>
      <c r="AJ122" s="36"/>
      <c r="AK122" s="36"/>
      <c r="AL122" s="36"/>
      <c r="AM122" s="36"/>
      <c r="AN122" s="36"/>
      <c r="AO122" s="36"/>
    </row>
    <row r="123" spans="7:41" ht="22.8"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6"/>
      <c r="AH123" s="36"/>
      <c r="AI123" s="36"/>
      <c r="AJ123" s="36"/>
      <c r="AK123" s="36"/>
      <c r="AL123" s="36"/>
      <c r="AM123" s="36"/>
      <c r="AN123" s="36"/>
      <c r="AO123" s="36"/>
    </row>
    <row r="124" spans="7:41" ht="22.8"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6"/>
      <c r="AH124" s="36"/>
      <c r="AI124" s="36"/>
      <c r="AJ124" s="36"/>
      <c r="AK124" s="36"/>
      <c r="AL124" s="36"/>
      <c r="AM124" s="36"/>
      <c r="AN124" s="36"/>
      <c r="AO124" s="36"/>
    </row>
    <row r="125" spans="7:41" ht="22.8"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6"/>
      <c r="AH125" s="36"/>
      <c r="AI125" s="36"/>
      <c r="AJ125" s="36"/>
      <c r="AK125" s="36"/>
      <c r="AL125" s="36"/>
      <c r="AM125" s="36"/>
      <c r="AN125" s="36"/>
      <c r="AO125" s="36"/>
    </row>
    <row r="126" spans="7:41" ht="22.8"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6"/>
      <c r="AH126" s="36"/>
      <c r="AI126" s="36"/>
      <c r="AJ126" s="36"/>
      <c r="AK126" s="36"/>
      <c r="AL126" s="36"/>
      <c r="AM126" s="36"/>
      <c r="AN126" s="36"/>
      <c r="AO126" s="36"/>
    </row>
    <row r="127" spans="7:41" ht="22.8"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6"/>
      <c r="AH127" s="36"/>
      <c r="AI127" s="36"/>
      <c r="AJ127" s="36"/>
      <c r="AK127" s="36"/>
      <c r="AL127" s="36"/>
      <c r="AM127" s="36"/>
      <c r="AN127" s="36"/>
      <c r="AO127" s="36"/>
    </row>
    <row r="128" spans="7:41" ht="22.8"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6"/>
      <c r="AH128" s="36"/>
      <c r="AI128" s="36"/>
      <c r="AJ128" s="36"/>
      <c r="AK128" s="36"/>
      <c r="AL128" s="36"/>
      <c r="AM128" s="36"/>
      <c r="AN128" s="36"/>
      <c r="AO128" s="36"/>
    </row>
    <row r="129" spans="7:41" ht="22.8"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6"/>
      <c r="AH129" s="36"/>
      <c r="AI129" s="36"/>
      <c r="AJ129" s="36"/>
      <c r="AK129" s="36"/>
      <c r="AL129" s="36"/>
      <c r="AM129" s="36"/>
      <c r="AN129" s="36"/>
      <c r="AO129" s="36"/>
    </row>
    <row r="130" spans="7:41" ht="22.8"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6"/>
      <c r="AH130" s="36"/>
      <c r="AI130" s="36"/>
      <c r="AJ130" s="36"/>
      <c r="AK130" s="36"/>
      <c r="AL130" s="36"/>
      <c r="AM130" s="36"/>
      <c r="AN130" s="36"/>
      <c r="AO130" s="36"/>
    </row>
    <row r="131" spans="7:41" ht="22.8"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6"/>
      <c r="AH131" s="36"/>
      <c r="AI131" s="36"/>
      <c r="AJ131" s="36"/>
      <c r="AK131" s="36"/>
      <c r="AL131" s="36"/>
      <c r="AM131" s="36"/>
      <c r="AN131" s="36"/>
      <c r="AO131" s="36"/>
    </row>
    <row r="132" spans="7:41" ht="22.8"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6"/>
      <c r="AH132" s="36"/>
      <c r="AI132" s="36"/>
      <c r="AJ132" s="36"/>
      <c r="AK132" s="36"/>
      <c r="AL132" s="36"/>
      <c r="AM132" s="36"/>
      <c r="AN132" s="36"/>
      <c r="AO132" s="36"/>
    </row>
    <row r="133" spans="7:41" ht="22.8"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6"/>
      <c r="AH133" s="36"/>
      <c r="AI133" s="36"/>
      <c r="AJ133" s="36"/>
      <c r="AK133" s="36"/>
      <c r="AL133" s="36"/>
      <c r="AM133" s="36"/>
      <c r="AN133" s="36"/>
      <c r="AO133" s="36"/>
    </row>
    <row r="134" spans="7:41" ht="22.8"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6"/>
      <c r="AH134" s="36"/>
      <c r="AI134" s="36"/>
      <c r="AJ134" s="36"/>
      <c r="AK134" s="36"/>
      <c r="AL134" s="36"/>
      <c r="AM134" s="36"/>
      <c r="AN134" s="36"/>
      <c r="AO134" s="36"/>
    </row>
    <row r="135" spans="7:41" ht="22.8"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6"/>
      <c r="AH135" s="36"/>
      <c r="AI135" s="36"/>
      <c r="AJ135" s="36"/>
      <c r="AK135" s="36"/>
      <c r="AL135" s="36"/>
      <c r="AM135" s="36"/>
      <c r="AN135" s="36"/>
      <c r="AO135" s="36"/>
    </row>
    <row r="136" spans="7:41" ht="22.8"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6"/>
      <c r="AH136" s="36"/>
      <c r="AI136" s="36"/>
      <c r="AJ136" s="36"/>
      <c r="AK136" s="36"/>
      <c r="AL136" s="36"/>
      <c r="AM136" s="36"/>
      <c r="AN136" s="36"/>
      <c r="AO136" s="36"/>
    </row>
    <row r="137" spans="7:41" ht="22.8"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6"/>
      <c r="AH137" s="36"/>
      <c r="AI137" s="36"/>
      <c r="AJ137" s="36"/>
      <c r="AK137" s="36"/>
      <c r="AL137" s="36"/>
      <c r="AM137" s="36"/>
      <c r="AN137" s="36"/>
      <c r="AO137" s="36"/>
    </row>
    <row r="138" spans="7:41" ht="22.8"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6"/>
      <c r="AH138" s="36"/>
      <c r="AI138" s="36"/>
      <c r="AJ138" s="36"/>
      <c r="AK138" s="36"/>
      <c r="AL138" s="36"/>
      <c r="AM138" s="36"/>
      <c r="AN138" s="36"/>
      <c r="AO138" s="36"/>
    </row>
    <row r="139" spans="7:41" ht="22.8"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6"/>
      <c r="AH139" s="36"/>
      <c r="AI139" s="36"/>
      <c r="AJ139" s="36"/>
      <c r="AK139" s="36"/>
      <c r="AL139" s="36"/>
      <c r="AM139" s="36"/>
      <c r="AN139" s="36"/>
      <c r="AO139" s="36"/>
    </row>
    <row r="140" spans="7:41" ht="22.8"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6"/>
      <c r="AH140" s="36"/>
      <c r="AI140" s="36"/>
      <c r="AJ140" s="36"/>
      <c r="AK140" s="36"/>
      <c r="AL140" s="36"/>
      <c r="AM140" s="36"/>
      <c r="AN140" s="36"/>
      <c r="AO140" s="36"/>
    </row>
    <row r="141" spans="7:41" ht="22.8"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6"/>
      <c r="AH141" s="36"/>
      <c r="AI141" s="36"/>
      <c r="AJ141" s="36"/>
      <c r="AK141" s="36"/>
      <c r="AL141" s="36"/>
      <c r="AM141" s="36"/>
      <c r="AN141" s="36"/>
      <c r="AO141" s="36"/>
    </row>
    <row r="142" spans="7:41" ht="22.8"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6"/>
      <c r="AH142" s="36"/>
      <c r="AI142" s="36"/>
      <c r="AJ142" s="36"/>
      <c r="AK142" s="36"/>
      <c r="AL142" s="36"/>
      <c r="AM142" s="36"/>
      <c r="AN142" s="36"/>
      <c r="AO142" s="36"/>
    </row>
    <row r="143" spans="7:41" ht="22.8"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6"/>
      <c r="AH143" s="36"/>
      <c r="AI143" s="36"/>
      <c r="AJ143" s="36"/>
      <c r="AK143" s="36"/>
      <c r="AL143" s="36"/>
      <c r="AM143" s="36"/>
      <c r="AN143" s="36"/>
      <c r="AO143" s="36"/>
    </row>
    <row r="144" spans="7:41" ht="22.8"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6"/>
      <c r="AH144" s="36"/>
      <c r="AI144" s="36"/>
      <c r="AJ144" s="36"/>
      <c r="AK144" s="36"/>
      <c r="AL144" s="36"/>
      <c r="AM144" s="36"/>
      <c r="AN144" s="36"/>
      <c r="AO144" s="36"/>
    </row>
    <row r="145" spans="7:41" ht="22.8"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6"/>
      <c r="AH145" s="36"/>
      <c r="AI145" s="36"/>
      <c r="AJ145" s="36"/>
      <c r="AK145" s="36"/>
      <c r="AL145" s="36"/>
      <c r="AM145" s="36"/>
      <c r="AN145" s="36"/>
      <c r="AO145" s="36"/>
    </row>
    <row r="146" spans="7:41" ht="22.8"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6"/>
      <c r="AH146" s="36"/>
      <c r="AI146" s="36"/>
      <c r="AJ146" s="36"/>
      <c r="AK146" s="36"/>
      <c r="AL146" s="36"/>
      <c r="AM146" s="36"/>
      <c r="AN146" s="36"/>
      <c r="AO146" s="36"/>
    </row>
    <row r="147" spans="7:41" ht="22.8"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6"/>
      <c r="AH147" s="36"/>
      <c r="AI147" s="36"/>
      <c r="AJ147" s="36"/>
      <c r="AK147" s="36"/>
      <c r="AL147" s="36"/>
      <c r="AM147" s="36"/>
      <c r="AN147" s="36"/>
      <c r="AO147" s="36"/>
    </row>
    <row r="148" spans="7:41" ht="22.8"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6"/>
      <c r="AH148" s="36"/>
      <c r="AI148" s="36"/>
      <c r="AJ148" s="36"/>
      <c r="AK148" s="36"/>
      <c r="AL148" s="36"/>
      <c r="AM148" s="36"/>
      <c r="AN148" s="36"/>
      <c r="AO148" s="36"/>
    </row>
    <row r="149" spans="7:41" ht="22.8"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6"/>
      <c r="AH149" s="36"/>
      <c r="AI149" s="36"/>
      <c r="AJ149" s="36"/>
      <c r="AK149" s="36"/>
      <c r="AL149" s="36"/>
      <c r="AM149" s="36"/>
      <c r="AN149" s="36"/>
      <c r="AO149" s="36"/>
    </row>
    <row r="150" spans="7:41" ht="22.8"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6"/>
      <c r="AH150" s="36"/>
      <c r="AI150" s="36"/>
      <c r="AJ150" s="36"/>
      <c r="AK150" s="36"/>
      <c r="AL150" s="36"/>
      <c r="AM150" s="36"/>
      <c r="AN150" s="36"/>
      <c r="AO150" s="36"/>
    </row>
    <row r="151" spans="7:41" ht="22.8"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6"/>
      <c r="AH151" s="36"/>
      <c r="AI151" s="36"/>
      <c r="AJ151" s="36"/>
      <c r="AK151" s="36"/>
      <c r="AL151" s="36"/>
      <c r="AM151" s="36"/>
      <c r="AN151" s="36"/>
      <c r="AO151" s="36"/>
    </row>
    <row r="152" spans="7:41" ht="22.8"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6"/>
      <c r="AH152" s="36"/>
      <c r="AI152" s="36"/>
      <c r="AJ152" s="36"/>
      <c r="AK152" s="36"/>
      <c r="AL152" s="36"/>
      <c r="AM152" s="36"/>
      <c r="AN152" s="36"/>
      <c r="AO152" s="36"/>
    </row>
    <row r="153" spans="7:41" ht="22.8"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6"/>
      <c r="AH153" s="36"/>
      <c r="AI153" s="36"/>
      <c r="AJ153" s="36"/>
      <c r="AK153" s="36"/>
      <c r="AL153" s="36"/>
      <c r="AM153" s="36"/>
      <c r="AN153" s="36"/>
      <c r="AO153" s="36"/>
    </row>
    <row r="154" spans="7:41" ht="22.8"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6"/>
      <c r="AH154" s="36"/>
      <c r="AI154" s="36"/>
      <c r="AJ154" s="36"/>
      <c r="AK154" s="36"/>
      <c r="AL154" s="36"/>
      <c r="AM154" s="36"/>
      <c r="AN154" s="36"/>
      <c r="AO154" s="36"/>
    </row>
    <row r="155" spans="7:41" ht="22.8"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6"/>
      <c r="AH155" s="36"/>
      <c r="AI155" s="36"/>
      <c r="AJ155" s="36"/>
      <c r="AK155" s="36"/>
      <c r="AL155" s="36"/>
      <c r="AM155" s="36"/>
      <c r="AN155" s="36"/>
      <c r="AO155" s="36"/>
    </row>
    <row r="156" spans="7:41" ht="22.8"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6"/>
      <c r="AH156" s="36"/>
      <c r="AI156" s="36"/>
      <c r="AJ156" s="36"/>
      <c r="AK156" s="36"/>
      <c r="AL156" s="36"/>
      <c r="AM156" s="36"/>
      <c r="AN156" s="36"/>
      <c r="AO156" s="36"/>
    </row>
    <row r="157" spans="7:41" ht="22.8"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6"/>
      <c r="AH157" s="36"/>
      <c r="AI157" s="36"/>
      <c r="AJ157" s="36"/>
      <c r="AK157" s="36"/>
      <c r="AL157" s="36"/>
      <c r="AM157" s="36"/>
      <c r="AN157" s="36"/>
      <c r="AO157" s="36"/>
    </row>
    <row r="158" spans="7:41" ht="22.8"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6"/>
      <c r="AH158" s="36"/>
      <c r="AI158" s="36"/>
      <c r="AJ158" s="36"/>
      <c r="AK158" s="36"/>
      <c r="AL158" s="36"/>
      <c r="AM158" s="36"/>
      <c r="AN158" s="36"/>
      <c r="AO158" s="36"/>
    </row>
    <row r="159" spans="7:41" ht="22.8"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6"/>
      <c r="AH159" s="36"/>
      <c r="AI159" s="36"/>
      <c r="AJ159" s="36"/>
      <c r="AK159" s="36"/>
      <c r="AL159" s="36"/>
      <c r="AM159" s="36"/>
      <c r="AN159" s="36"/>
      <c r="AO159" s="36"/>
    </row>
    <row r="160" spans="7:41" ht="22.8"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6"/>
      <c r="AH160" s="36"/>
      <c r="AI160" s="36"/>
      <c r="AJ160" s="36"/>
      <c r="AK160" s="36"/>
      <c r="AL160" s="36"/>
      <c r="AM160" s="36"/>
      <c r="AN160" s="36"/>
      <c r="AO160" s="36"/>
    </row>
    <row r="161" spans="7:41" ht="22.8"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6"/>
      <c r="AH161" s="36"/>
      <c r="AI161" s="36"/>
      <c r="AJ161" s="36"/>
      <c r="AK161" s="36"/>
      <c r="AL161" s="36"/>
      <c r="AM161" s="36"/>
      <c r="AN161" s="36"/>
      <c r="AO161" s="36"/>
    </row>
    <row r="162" spans="7:41" ht="22.8"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6"/>
      <c r="AH162" s="36"/>
      <c r="AI162" s="36"/>
      <c r="AJ162" s="36"/>
      <c r="AK162" s="36"/>
      <c r="AL162" s="36"/>
      <c r="AM162" s="36"/>
      <c r="AN162" s="36"/>
      <c r="AO162" s="36"/>
    </row>
    <row r="163" spans="7:41" ht="22.8"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6"/>
      <c r="AH163" s="36"/>
      <c r="AI163" s="36"/>
      <c r="AJ163" s="36"/>
      <c r="AK163" s="36"/>
      <c r="AL163" s="36"/>
      <c r="AM163" s="36"/>
      <c r="AN163" s="36"/>
      <c r="AO163" s="36"/>
    </row>
    <row r="164" spans="7:41" ht="22.8"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6"/>
      <c r="AH164" s="36"/>
      <c r="AI164" s="36"/>
      <c r="AJ164" s="36"/>
      <c r="AK164" s="36"/>
      <c r="AL164" s="36"/>
      <c r="AM164" s="36"/>
      <c r="AN164" s="36"/>
      <c r="AO164" s="36"/>
    </row>
    <row r="165" spans="7:41" ht="22.8"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6"/>
      <c r="AH165" s="36"/>
      <c r="AI165" s="36"/>
      <c r="AJ165" s="36"/>
      <c r="AK165" s="36"/>
      <c r="AL165" s="36"/>
      <c r="AM165" s="36"/>
      <c r="AN165" s="36"/>
      <c r="AO165" s="36"/>
    </row>
    <row r="166" spans="7:41" ht="22.8"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6"/>
      <c r="AH166" s="36"/>
      <c r="AI166" s="36"/>
      <c r="AJ166" s="36"/>
      <c r="AK166" s="36"/>
      <c r="AL166" s="36"/>
      <c r="AM166" s="36"/>
      <c r="AN166" s="36"/>
      <c r="AO166" s="36"/>
    </row>
    <row r="167" spans="7:41" ht="22.8"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6"/>
      <c r="AH167" s="36"/>
      <c r="AI167" s="36"/>
      <c r="AJ167" s="36"/>
      <c r="AK167" s="36"/>
      <c r="AL167" s="36"/>
      <c r="AM167" s="36"/>
      <c r="AN167" s="36"/>
      <c r="AO167" s="36"/>
    </row>
    <row r="168" spans="7:41" ht="22.8"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6"/>
      <c r="AH168" s="36"/>
      <c r="AI168" s="36"/>
      <c r="AJ168" s="36"/>
      <c r="AK168" s="36"/>
      <c r="AL168" s="36"/>
      <c r="AM168" s="36"/>
      <c r="AN168" s="36"/>
      <c r="AO168" s="36"/>
    </row>
    <row r="169" spans="7:41" ht="22.8"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6"/>
      <c r="AH169" s="36"/>
      <c r="AI169" s="36"/>
      <c r="AJ169" s="36"/>
      <c r="AK169" s="36"/>
      <c r="AL169" s="36"/>
      <c r="AM169" s="36"/>
      <c r="AN169" s="36"/>
      <c r="AO169" s="36"/>
    </row>
    <row r="170" spans="7:41" ht="22.8"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6"/>
      <c r="AH170" s="36"/>
      <c r="AI170" s="36"/>
      <c r="AJ170" s="36"/>
      <c r="AK170" s="36"/>
      <c r="AL170" s="36"/>
      <c r="AM170" s="36"/>
      <c r="AN170" s="36"/>
      <c r="AO170" s="36"/>
    </row>
    <row r="171" spans="7:41" ht="22.8"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6"/>
      <c r="AH171" s="36"/>
      <c r="AI171" s="36"/>
      <c r="AJ171" s="36"/>
      <c r="AK171" s="36"/>
      <c r="AL171" s="36"/>
      <c r="AM171" s="36"/>
      <c r="AN171" s="36"/>
      <c r="AO171" s="36"/>
    </row>
    <row r="172" spans="7:41" ht="22.8"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6"/>
      <c r="AH172" s="36"/>
      <c r="AI172" s="36"/>
      <c r="AJ172" s="36"/>
      <c r="AK172" s="36"/>
      <c r="AL172" s="36"/>
      <c r="AM172" s="36"/>
      <c r="AN172" s="36"/>
      <c r="AO172" s="36"/>
    </row>
    <row r="173" spans="7:41" ht="22.8"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6"/>
      <c r="AH173" s="36"/>
      <c r="AI173" s="36"/>
      <c r="AJ173" s="36"/>
      <c r="AK173" s="36"/>
      <c r="AL173" s="36"/>
      <c r="AM173" s="36"/>
      <c r="AN173" s="36"/>
      <c r="AO173" s="36"/>
    </row>
    <row r="174" spans="7:41" ht="22.8"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6"/>
      <c r="AH174" s="36"/>
      <c r="AI174" s="36"/>
      <c r="AJ174" s="36"/>
      <c r="AK174" s="36"/>
      <c r="AL174" s="36"/>
      <c r="AM174" s="36"/>
      <c r="AN174" s="36"/>
      <c r="AO174" s="36"/>
    </row>
    <row r="175" spans="7:41" ht="22.8"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6"/>
      <c r="AH175" s="36"/>
      <c r="AI175" s="36"/>
      <c r="AJ175" s="36"/>
      <c r="AK175" s="36"/>
      <c r="AL175" s="36"/>
      <c r="AM175" s="36"/>
      <c r="AN175" s="36"/>
      <c r="AO175" s="36"/>
    </row>
    <row r="176" spans="7:41" ht="22.8"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6"/>
      <c r="AH176" s="36"/>
      <c r="AI176" s="36"/>
      <c r="AJ176" s="36"/>
      <c r="AK176" s="36"/>
      <c r="AL176" s="36"/>
      <c r="AM176" s="36"/>
      <c r="AN176" s="36"/>
      <c r="AO176" s="36"/>
    </row>
    <row r="177" spans="7:41" ht="22.8"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6"/>
      <c r="AH177" s="36"/>
      <c r="AI177" s="36"/>
      <c r="AJ177" s="36"/>
      <c r="AK177" s="36"/>
      <c r="AL177" s="36"/>
      <c r="AM177" s="36"/>
      <c r="AN177" s="36"/>
      <c r="AO177" s="36"/>
    </row>
    <row r="178" spans="7:41" ht="22.8"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6"/>
      <c r="AH178" s="36"/>
      <c r="AI178" s="36"/>
      <c r="AJ178" s="36"/>
      <c r="AK178" s="36"/>
      <c r="AL178" s="36"/>
      <c r="AM178" s="36"/>
      <c r="AN178" s="36"/>
      <c r="AO178" s="36"/>
    </row>
    <row r="179" spans="7:41" ht="22.8"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6"/>
      <c r="AH179" s="36"/>
      <c r="AI179" s="36"/>
      <c r="AJ179" s="36"/>
      <c r="AK179" s="36"/>
      <c r="AL179" s="36"/>
      <c r="AM179" s="36"/>
      <c r="AN179" s="36"/>
      <c r="AO179" s="36"/>
    </row>
    <row r="180" spans="7:41" ht="22.8"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6"/>
      <c r="AH180" s="36"/>
      <c r="AI180" s="36"/>
      <c r="AJ180" s="36"/>
      <c r="AK180" s="36"/>
      <c r="AL180" s="36"/>
      <c r="AM180" s="36"/>
      <c r="AN180" s="36"/>
      <c r="AO180" s="36"/>
    </row>
    <row r="181" spans="7:41" ht="22.8"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6"/>
      <c r="AH181" s="36"/>
      <c r="AI181" s="36"/>
      <c r="AJ181" s="36"/>
      <c r="AK181" s="36"/>
      <c r="AL181" s="36"/>
      <c r="AM181" s="36"/>
      <c r="AN181" s="36"/>
      <c r="AO181" s="36"/>
    </row>
    <row r="182" spans="7:41" ht="22.8"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6"/>
      <c r="AH182" s="36"/>
      <c r="AI182" s="36"/>
      <c r="AJ182" s="36"/>
      <c r="AK182" s="36"/>
      <c r="AL182" s="36"/>
      <c r="AM182" s="36"/>
      <c r="AN182" s="36"/>
      <c r="AO182" s="36"/>
    </row>
    <row r="183" spans="7:41" ht="22.8"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6"/>
      <c r="AH183" s="36"/>
      <c r="AI183" s="36"/>
      <c r="AJ183" s="36"/>
      <c r="AK183" s="36"/>
      <c r="AL183" s="36"/>
      <c r="AM183" s="36"/>
      <c r="AN183" s="36"/>
      <c r="AO183" s="36"/>
    </row>
    <row r="184" spans="7:41" ht="22.8"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6"/>
      <c r="AH184" s="36"/>
      <c r="AI184" s="36"/>
      <c r="AJ184" s="36"/>
      <c r="AK184" s="36"/>
      <c r="AL184" s="36"/>
      <c r="AM184" s="36"/>
      <c r="AN184" s="36"/>
      <c r="AO184" s="36"/>
    </row>
    <row r="185" spans="7:41" ht="22.8"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6"/>
      <c r="AH185" s="36"/>
      <c r="AI185" s="36"/>
      <c r="AJ185" s="36"/>
      <c r="AK185" s="36"/>
      <c r="AL185" s="36"/>
      <c r="AM185" s="36"/>
      <c r="AN185" s="36"/>
      <c r="AO185" s="36"/>
    </row>
    <row r="186" spans="7:41" ht="22.8"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6"/>
      <c r="AH186" s="36"/>
      <c r="AI186" s="36"/>
      <c r="AJ186" s="36"/>
      <c r="AK186" s="36"/>
      <c r="AL186" s="36"/>
      <c r="AM186" s="36"/>
      <c r="AN186" s="36"/>
      <c r="AO186" s="36"/>
    </row>
    <row r="187" spans="7:41" ht="22.8"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6"/>
      <c r="AH187" s="36"/>
      <c r="AI187" s="36"/>
      <c r="AJ187" s="36"/>
      <c r="AK187" s="36"/>
      <c r="AL187" s="36"/>
      <c r="AM187" s="36"/>
      <c r="AN187" s="36"/>
      <c r="AO187" s="36"/>
    </row>
    <row r="188" spans="7:41" ht="22.8"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6"/>
      <c r="AH188" s="36"/>
      <c r="AI188" s="36"/>
      <c r="AJ188" s="36"/>
      <c r="AK188" s="36"/>
      <c r="AL188" s="36"/>
      <c r="AM188" s="36"/>
      <c r="AN188" s="36"/>
      <c r="AO188" s="36"/>
    </row>
    <row r="189" spans="7:41" ht="22.8"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6"/>
      <c r="AH189" s="36"/>
      <c r="AI189" s="36"/>
      <c r="AJ189" s="36"/>
      <c r="AK189" s="36"/>
      <c r="AL189" s="36"/>
      <c r="AM189" s="36"/>
      <c r="AN189" s="36"/>
      <c r="AO189" s="36"/>
    </row>
    <row r="190" spans="7:41" ht="22.8"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6"/>
      <c r="AH190" s="36"/>
      <c r="AI190" s="36"/>
      <c r="AJ190" s="36"/>
      <c r="AK190" s="36"/>
      <c r="AL190" s="36"/>
      <c r="AM190" s="36"/>
      <c r="AN190" s="36"/>
      <c r="AO190" s="36"/>
    </row>
    <row r="191" spans="7:41" ht="22.8"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6"/>
      <c r="AH191" s="36"/>
      <c r="AI191" s="36"/>
      <c r="AJ191" s="36"/>
      <c r="AK191" s="36"/>
      <c r="AL191" s="36"/>
      <c r="AM191" s="36"/>
      <c r="AN191" s="36"/>
      <c r="AO191" s="36"/>
    </row>
    <row r="192" spans="7:41" ht="22.8"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6"/>
      <c r="AH192" s="36"/>
      <c r="AI192" s="36"/>
      <c r="AJ192" s="36"/>
      <c r="AK192" s="36"/>
      <c r="AL192" s="36"/>
      <c r="AM192" s="36"/>
      <c r="AN192" s="36"/>
      <c r="AO192" s="36"/>
    </row>
    <row r="193" spans="7:41" ht="22.8"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6"/>
      <c r="AH193" s="36"/>
      <c r="AI193" s="36"/>
      <c r="AJ193" s="36"/>
      <c r="AK193" s="36"/>
      <c r="AL193" s="36"/>
      <c r="AM193" s="36"/>
      <c r="AN193" s="36"/>
      <c r="AO193" s="36"/>
    </row>
    <row r="194" spans="7:41" ht="22.8"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6"/>
      <c r="AH194" s="36"/>
      <c r="AI194" s="36"/>
      <c r="AJ194" s="36"/>
      <c r="AK194" s="36"/>
      <c r="AL194" s="36"/>
      <c r="AM194" s="36"/>
      <c r="AN194" s="36"/>
      <c r="AO194" s="36"/>
    </row>
    <row r="195" spans="7:41" ht="22.8"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6"/>
      <c r="AH195" s="36"/>
      <c r="AI195" s="36"/>
      <c r="AJ195" s="36"/>
      <c r="AK195" s="36"/>
      <c r="AL195" s="36"/>
      <c r="AM195" s="36"/>
      <c r="AN195" s="36"/>
      <c r="AO195" s="36"/>
    </row>
    <row r="196" spans="7:41" ht="22.8"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6"/>
      <c r="AH196" s="36"/>
      <c r="AI196" s="36"/>
      <c r="AJ196" s="36"/>
      <c r="AK196" s="36"/>
      <c r="AL196" s="36"/>
      <c r="AM196" s="36"/>
      <c r="AN196" s="36"/>
      <c r="AO196" s="36"/>
    </row>
    <row r="197" spans="7:41" ht="22.8"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6"/>
      <c r="AH197" s="36"/>
      <c r="AI197" s="36"/>
      <c r="AJ197" s="36"/>
      <c r="AK197" s="36"/>
      <c r="AL197" s="36"/>
      <c r="AM197" s="36"/>
      <c r="AN197" s="36"/>
      <c r="AO197" s="36"/>
    </row>
    <row r="198" spans="7:41" ht="22.8"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6"/>
      <c r="AH198" s="36"/>
      <c r="AI198" s="36"/>
      <c r="AJ198" s="36"/>
      <c r="AK198" s="36"/>
      <c r="AL198" s="36"/>
      <c r="AM198" s="36"/>
      <c r="AN198" s="36"/>
      <c r="AO198" s="36"/>
    </row>
    <row r="199" spans="7:41" ht="22.8"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6"/>
      <c r="AH199" s="36"/>
      <c r="AI199" s="36"/>
      <c r="AJ199" s="36"/>
      <c r="AK199" s="36"/>
      <c r="AL199" s="36"/>
      <c r="AM199" s="36"/>
      <c r="AN199" s="36"/>
      <c r="AO199" s="36"/>
    </row>
    <row r="200" spans="7:41" ht="22.8"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6"/>
      <c r="AH200" s="36"/>
      <c r="AI200" s="36"/>
      <c r="AJ200" s="36"/>
      <c r="AK200" s="36"/>
      <c r="AL200" s="36"/>
      <c r="AM200" s="36"/>
      <c r="AN200" s="36"/>
      <c r="AO200" s="36"/>
    </row>
    <row r="201" spans="7:41" ht="22.8"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6"/>
      <c r="AH201" s="36"/>
      <c r="AI201" s="36"/>
      <c r="AJ201" s="36"/>
      <c r="AK201" s="36"/>
      <c r="AL201" s="36"/>
      <c r="AM201" s="36"/>
      <c r="AN201" s="36"/>
      <c r="AO201" s="36"/>
    </row>
    <row r="202" spans="7:41" ht="22.8"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6"/>
      <c r="AH202" s="36"/>
      <c r="AI202" s="36"/>
      <c r="AJ202" s="36"/>
      <c r="AK202" s="36"/>
      <c r="AL202" s="36"/>
      <c r="AM202" s="36"/>
      <c r="AN202" s="36"/>
      <c r="AO202" s="36"/>
    </row>
    <row r="203" spans="7:41" ht="22.8"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6"/>
      <c r="AH203" s="36"/>
      <c r="AI203" s="36"/>
      <c r="AJ203" s="36"/>
      <c r="AK203" s="36"/>
      <c r="AL203" s="36"/>
      <c r="AM203" s="36"/>
      <c r="AN203" s="36"/>
      <c r="AO203" s="36"/>
    </row>
    <row r="204" spans="7:41" ht="22.8"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6"/>
      <c r="AH204" s="36"/>
      <c r="AI204" s="36"/>
      <c r="AJ204" s="36"/>
      <c r="AK204" s="36"/>
      <c r="AL204" s="36"/>
      <c r="AM204" s="36"/>
      <c r="AN204" s="36"/>
      <c r="AO204" s="36"/>
    </row>
    <row r="205" spans="7:41" ht="22.8"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6"/>
      <c r="AH205" s="36"/>
      <c r="AI205" s="36"/>
      <c r="AJ205" s="36"/>
      <c r="AK205" s="36"/>
      <c r="AL205" s="36"/>
      <c r="AM205" s="36"/>
      <c r="AN205" s="36"/>
      <c r="AO205" s="36"/>
    </row>
    <row r="206" spans="7:41" ht="22.8"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6"/>
      <c r="AH206" s="36"/>
      <c r="AI206" s="36"/>
      <c r="AJ206" s="36"/>
      <c r="AK206" s="36"/>
      <c r="AL206" s="36"/>
      <c r="AM206" s="36"/>
      <c r="AN206" s="36"/>
      <c r="AO206" s="36"/>
    </row>
    <row r="207" spans="7:41" ht="22.8"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6"/>
      <c r="AH207" s="36"/>
      <c r="AI207" s="36"/>
      <c r="AJ207" s="36"/>
      <c r="AK207" s="36"/>
      <c r="AL207" s="36"/>
      <c r="AM207" s="36"/>
      <c r="AN207" s="36"/>
      <c r="AO207" s="36"/>
    </row>
    <row r="208" spans="7:41" ht="22.8"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6"/>
      <c r="AH208" s="36"/>
      <c r="AI208" s="36"/>
      <c r="AJ208" s="36"/>
      <c r="AK208" s="36"/>
      <c r="AL208" s="36"/>
      <c r="AM208" s="36"/>
      <c r="AN208" s="36"/>
      <c r="AO208" s="36"/>
    </row>
    <row r="209" spans="7:41" ht="22.8"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6"/>
      <c r="AH209" s="36"/>
      <c r="AI209" s="36"/>
      <c r="AJ209" s="36"/>
      <c r="AK209" s="36"/>
      <c r="AL209" s="36"/>
      <c r="AM209" s="36"/>
      <c r="AN209" s="36"/>
      <c r="AO209" s="36"/>
    </row>
    <row r="210" spans="7:41" ht="22.8"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6"/>
      <c r="AH210" s="36"/>
      <c r="AI210" s="36"/>
      <c r="AJ210" s="36"/>
      <c r="AK210" s="36"/>
      <c r="AL210" s="36"/>
      <c r="AM210" s="36"/>
      <c r="AN210" s="36"/>
      <c r="AO210" s="36"/>
    </row>
    <row r="211" spans="7:41" ht="22.8"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6"/>
      <c r="AH211" s="36"/>
      <c r="AI211" s="36"/>
      <c r="AJ211" s="36"/>
      <c r="AK211" s="36"/>
      <c r="AL211" s="36"/>
      <c r="AM211" s="36"/>
      <c r="AN211" s="36"/>
      <c r="AO211" s="36"/>
    </row>
    <row r="212" spans="7:41" ht="22.8"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6"/>
      <c r="AH212" s="36"/>
      <c r="AI212" s="36"/>
      <c r="AJ212" s="36"/>
      <c r="AK212" s="36"/>
      <c r="AL212" s="36"/>
      <c r="AM212" s="36"/>
      <c r="AN212" s="36"/>
      <c r="AO212" s="36"/>
    </row>
    <row r="213" spans="7:41" ht="22.8"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6"/>
      <c r="AH213" s="36"/>
      <c r="AI213" s="36"/>
      <c r="AJ213" s="36"/>
      <c r="AK213" s="36"/>
      <c r="AL213" s="36"/>
      <c r="AM213" s="36"/>
      <c r="AN213" s="36"/>
      <c r="AO213" s="36"/>
    </row>
    <row r="214" spans="7:41" ht="22.8"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6"/>
      <c r="AH214" s="36"/>
      <c r="AI214" s="36"/>
      <c r="AJ214" s="36"/>
      <c r="AK214" s="36"/>
      <c r="AL214" s="36"/>
      <c r="AM214" s="36"/>
      <c r="AN214" s="36"/>
      <c r="AO214" s="36"/>
    </row>
    <row r="215" spans="7:41" ht="22.8"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6"/>
      <c r="AH215" s="36"/>
      <c r="AI215" s="36"/>
      <c r="AJ215" s="36"/>
      <c r="AK215" s="36"/>
      <c r="AL215" s="36"/>
      <c r="AM215" s="36"/>
      <c r="AN215" s="36"/>
      <c r="AO215" s="36"/>
    </row>
    <row r="216" spans="7:41" ht="22.8"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6"/>
      <c r="AH216" s="36"/>
      <c r="AI216" s="36"/>
      <c r="AJ216" s="36"/>
      <c r="AK216" s="36"/>
      <c r="AL216" s="36"/>
      <c r="AM216" s="36"/>
      <c r="AN216" s="36"/>
      <c r="AO216" s="36"/>
    </row>
    <row r="217" spans="7:41" ht="22.8"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6"/>
      <c r="AH217" s="36"/>
      <c r="AI217" s="36"/>
      <c r="AJ217" s="36"/>
      <c r="AK217" s="36"/>
      <c r="AL217" s="36"/>
      <c r="AM217" s="36"/>
      <c r="AN217" s="36"/>
      <c r="AO217" s="36"/>
    </row>
    <row r="218" spans="7:41" ht="22.8"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6"/>
      <c r="AH218" s="36"/>
      <c r="AI218" s="36"/>
      <c r="AJ218" s="36"/>
      <c r="AK218" s="36"/>
      <c r="AL218" s="36"/>
      <c r="AM218" s="36"/>
      <c r="AN218" s="36"/>
      <c r="AO218" s="36"/>
    </row>
    <row r="219" spans="7:41" ht="22.8"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6"/>
      <c r="AH219" s="36"/>
      <c r="AI219" s="36"/>
      <c r="AJ219" s="36"/>
      <c r="AK219" s="36"/>
      <c r="AL219" s="36"/>
      <c r="AM219" s="36"/>
      <c r="AN219" s="36"/>
      <c r="AO219" s="36"/>
    </row>
    <row r="220" spans="7:41" ht="22.8"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6"/>
      <c r="AH220" s="36"/>
      <c r="AI220" s="36"/>
      <c r="AJ220" s="36"/>
      <c r="AK220" s="36"/>
      <c r="AL220" s="36"/>
      <c r="AM220" s="36"/>
      <c r="AN220" s="36"/>
      <c r="AO220" s="36"/>
    </row>
    <row r="221" spans="7:41" ht="22.8"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6"/>
      <c r="AH221" s="36"/>
      <c r="AI221" s="36"/>
      <c r="AJ221" s="36"/>
      <c r="AK221" s="36"/>
      <c r="AL221" s="36"/>
      <c r="AM221" s="36"/>
      <c r="AN221" s="36"/>
      <c r="AO221" s="36"/>
    </row>
    <row r="222" spans="7:41" ht="22.8"/>
    <row r="223" spans="7:41" ht="22.8"/>
    <row r="224" spans="7:41" ht="22.8"/>
    <row r="225" ht="22.8"/>
    <row r="226" ht="22.8"/>
    <row r="227" ht="22.8"/>
    <row r="228" ht="22.8"/>
    <row r="229" ht="22.8"/>
    <row r="230" ht="22.8"/>
    <row r="231" ht="22.8"/>
    <row r="232" ht="22.8"/>
    <row r="233" ht="22.8"/>
    <row r="234" ht="22.8"/>
    <row r="235" ht="22.8"/>
    <row r="236" ht="22.8"/>
    <row r="237" ht="22.8"/>
    <row r="238" ht="22.8"/>
    <row r="239" ht="22.8"/>
    <row r="240" ht="22.8"/>
    <row r="241" ht="22.8"/>
    <row r="242" ht="22.8"/>
    <row r="243" ht="22.8"/>
    <row r="244" ht="22.8"/>
    <row r="245" ht="22.8"/>
    <row r="246" ht="22.8"/>
    <row r="247" ht="22.8"/>
    <row r="248" ht="22.8"/>
    <row r="249" ht="22.8"/>
    <row r="250" ht="22.8"/>
    <row r="251" ht="22.8"/>
    <row r="252" ht="22.8"/>
    <row r="253" ht="22.8"/>
    <row r="254" ht="22.8"/>
    <row r="255" ht="22.8"/>
    <row r="256" ht="22.8"/>
    <row r="257" ht="22.8"/>
    <row r="258" ht="22.8"/>
    <row r="259" ht="22.8"/>
    <row r="260" ht="22.8"/>
    <row r="261" ht="22.8"/>
    <row r="262" ht="22.8"/>
    <row r="263" ht="22.8"/>
    <row r="264" ht="22.8"/>
    <row r="265" ht="22.8"/>
    <row r="266" ht="22.8"/>
    <row r="267" ht="22.8"/>
    <row r="268" ht="22.8"/>
    <row r="269" ht="22.8"/>
    <row r="270" ht="22.8"/>
    <row r="271" ht="22.8"/>
    <row r="272" ht="22.8"/>
    <row r="273" ht="22.8"/>
    <row r="274" ht="22.8"/>
    <row r="275" ht="22.8"/>
    <row r="276" ht="22.8"/>
    <row r="277" ht="22.8"/>
    <row r="278" ht="22.8"/>
    <row r="279" ht="22.8"/>
    <row r="280" ht="22.8"/>
    <row r="281" ht="22.8"/>
    <row r="282" ht="22.8"/>
    <row r="283" ht="22.8"/>
    <row r="284" ht="22.8"/>
    <row r="285" ht="22.8"/>
    <row r="286" ht="22.8"/>
    <row r="287" ht="22.8"/>
    <row r="288" ht="22.8"/>
    <row r="289" ht="22.8"/>
    <row r="290" ht="22.8"/>
    <row r="291" ht="22.8"/>
    <row r="292" ht="22.8"/>
    <row r="293" ht="22.8"/>
    <row r="294" ht="22.8"/>
    <row r="295" ht="22.8"/>
    <row r="296" ht="22.8"/>
    <row r="297" ht="22.8"/>
    <row r="298" ht="22.8"/>
    <row r="299" ht="22.8"/>
    <row r="300" ht="22.8"/>
    <row r="301" ht="22.8"/>
    <row r="302" ht="22.8"/>
    <row r="303" ht="22.8"/>
    <row r="304" ht="22.8"/>
    <row r="305" ht="22.8"/>
    <row r="306" ht="22.8"/>
    <row r="307" ht="22.8"/>
    <row r="308" ht="22.8"/>
    <row r="309" ht="22.8"/>
    <row r="310" ht="22.8"/>
    <row r="311" ht="22.8"/>
    <row r="312" ht="22.8"/>
    <row r="313" ht="22.8"/>
    <row r="314" ht="22.8"/>
    <row r="315" ht="22.8"/>
    <row r="316" ht="22.8"/>
    <row r="317" ht="22.8"/>
    <row r="318" ht="22.8"/>
    <row r="319" ht="22.8"/>
    <row r="320" ht="22.8"/>
    <row r="321" ht="22.8"/>
    <row r="322" ht="22.8"/>
    <row r="323" ht="22.8"/>
    <row r="324" ht="22.8"/>
    <row r="325" ht="22.8"/>
    <row r="326" ht="22.8"/>
    <row r="327" ht="22.8"/>
    <row r="328" ht="22.8"/>
    <row r="329" ht="22.8"/>
    <row r="330" ht="22.8"/>
    <row r="331" ht="22.8"/>
    <row r="332" ht="22.8"/>
    <row r="333" ht="22.8"/>
    <row r="334" ht="22.8"/>
    <row r="335" ht="22.8"/>
    <row r="336" ht="22.8"/>
    <row r="337" ht="22.8"/>
    <row r="338" ht="22.8"/>
    <row r="339" ht="22.8"/>
    <row r="340" ht="22.8"/>
    <row r="341" ht="22.8"/>
    <row r="342" ht="22.8"/>
    <row r="343" ht="22.8"/>
    <row r="344" ht="22.8"/>
    <row r="345" ht="22.8"/>
    <row r="346" ht="22.8"/>
    <row r="347" ht="22.8"/>
    <row r="348" ht="22.8"/>
    <row r="349" ht="22.8"/>
    <row r="350" ht="22.8"/>
    <row r="351" ht="22.8"/>
    <row r="352" ht="22.8"/>
    <row r="353" ht="22.8"/>
    <row r="354" ht="22.8"/>
    <row r="355" ht="22.8"/>
    <row r="356" ht="22.8"/>
    <row r="357" ht="22.8"/>
    <row r="358" ht="22.8"/>
    <row r="359" ht="22.8"/>
    <row r="360" ht="22.8"/>
    <row r="361" ht="22.8"/>
    <row r="362" ht="22.8"/>
    <row r="363" ht="22.8"/>
    <row r="364" ht="22.8"/>
    <row r="365" ht="22.8"/>
    <row r="366" ht="22.8"/>
    <row r="367" ht="22.8"/>
    <row r="368" ht="22.8"/>
    <row r="369" ht="22.8"/>
    <row r="370" ht="22.8"/>
    <row r="371" ht="22.8"/>
    <row r="372" ht="22.8"/>
    <row r="373" ht="22.8"/>
    <row r="374" ht="22.8"/>
    <row r="375" ht="22.8"/>
    <row r="376" ht="22.8"/>
    <row r="377" ht="22.8"/>
    <row r="378" ht="22.8"/>
    <row r="379" ht="22.8"/>
    <row r="380" ht="22.8"/>
    <row r="381" ht="22.8"/>
    <row r="382" ht="22.8"/>
    <row r="383" ht="22.8"/>
    <row r="384" ht="22.8"/>
    <row r="385" ht="22.8"/>
    <row r="386" ht="22.8"/>
    <row r="387" ht="22.8"/>
    <row r="388" ht="22.8"/>
    <row r="389" ht="22.8"/>
    <row r="390" ht="22.8"/>
    <row r="391" ht="22.8"/>
    <row r="392" ht="22.8"/>
    <row r="393" ht="22.8"/>
    <row r="394" ht="22.8"/>
    <row r="395" ht="22.8"/>
    <row r="396" ht="22.8"/>
    <row r="397" ht="22.8"/>
    <row r="398" ht="22.8"/>
    <row r="399" ht="22.8"/>
    <row r="400" ht="22.8"/>
    <row r="401" ht="22.8"/>
    <row r="402" ht="22.8"/>
    <row r="403" ht="22.8"/>
    <row r="404" ht="22.8"/>
    <row r="405" ht="22.8"/>
    <row r="406" ht="22.8"/>
    <row r="407" ht="22.8"/>
    <row r="408" ht="22.8"/>
    <row r="409" ht="22.8"/>
    <row r="410" ht="22.8"/>
    <row r="411" ht="22.8"/>
    <row r="412" ht="22.8"/>
    <row r="413" ht="22.8"/>
    <row r="414" ht="22.8"/>
    <row r="415" ht="22.8"/>
    <row r="416" ht="22.8"/>
    <row r="417" ht="22.8"/>
    <row r="418" ht="22.8"/>
    <row r="419" ht="22.8"/>
    <row r="420" ht="22.8"/>
    <row r="421" ht="22.8"/>
    <row r="422" ht="22.8"/>
    <row r="423" ht="22.8"/>
    <row r="424" ht="22.8"/>
    <row r="425" ht="22.8"/>
    <row r="426" ht="22.8"/>
    <row r="427" ht="22.8"/>
    <row r="428" ht="22.8"/>
    <row r="429" ht="22.8"/>
    <row r="430" ht="22.8"/>
    <row r="431" ht="22.8"/>
    <row r="432" ht="22.8"/>
    <row r="433" ht="22.8"/>
    <row r="434" ht="22.8"/>
    <row r="435" ht="22.8"/>
    <row r="436" ht="22.8"/>
    <row r="437" ht="22.8"/>
    <row r="438" ht="22.8"/>
    <row r="439" ht="22.8"/>
    <row r="440" ht="22.8"/>
    <row r="441" ht="22.8"/>
    <row r="442" ht="22.8"/>
    <row r="443" ht="22.8"/>
    <row r="444" ht="22.8"/>
    <row r="445" ht="22.8"/>
    <row r="446" ht="22.8"/>
    <row r="447" ht="22.8"/>
    <row r="448" ht="22.8"/>
    <row r="449" ht="22.8"/>
    <row r="450" ht="22.8"/>
    <row r="451" ht="22.8"/>
    <row r="452" ht="22.8"/>
    <row r="453" ht="22.8"/>
    <row r="454" ht="22.8"/>
    <row r="455" ht="22.8"/>
    <row r="456" ht="22.8"/>
    <row r="457" ht="22.8"/>
    <row r="458" ht="22.8"/>
    <row r="459" ht="22.8"/>
    <row r="460" ht="22.8"/>
    <row r="461" ht="22.8"/>
    <row r="462" ht="22.8"/>
    <row r="463" ht="22.8"/>
    <row r="464" ht="22.8"/>
    <row r="465" ht="22.8"/>
    <row r="466" ht="22.8"/>
    <row r="467" ht="22.8"/>
    <row r="468" ht="22.8"/>
    <row r="469" ht="22.8"/>
    <row r="470" ht="22.8"/>
    <row r="471" ht="22.8"/>
    <row r="472" ht="22.8"/>
    <row r="473" ht="22.8"/>
    <row r="474" ht="22.8"/>
    <row r="475" ht="22.8"/>
    <row r="476" ht="22.8"/>
    <row r="477" ht="22.8"/>
    <row r="478" ht="22.8"/>
    <row r="479" ht="22.8"/>
    <row r="480" ht="22.8"/>
    <row r="481" ht="22.8"/>
    <row r="482" ht="22.8"/>
    <row r="483" ht="22.8"/>
    <row r="484" ht="22.8"/>
    <row r="485" ht="22.8"/>
    <row r="486" ht="22.8"/>
    <row r="487" ht="22.8"/>
    <row r="488" ht="22.8"/>
    <row r="489" ht="22.8"/>
    <row r="490" ht="22.8"/>
    <row r="491" ht="22.8"/>
    <row r="492" ht="22.8"/>
    <row r="493" ht="22.8"/>
    <row r="494" ht="22.8"/>
    <row r="495" ht="22.8"/>
    <row r="496" ht="22.8"/>
    <row r="497" ht="22.8"/>
    <row r="498" ht="22.8"/>
    <row r="499" ht="22.8"/>
    <row r="500" ht="22.8"/>
    <row r="501" ht="22.8"/>
    <row r="502" ht="22.8"/>
    <row r="503" ht="22.8"/>
    <row r="504" ht="22.8"/>
    <row r="505" ht="22.8"/>
    <row r="506" ht="22.8"/>
    <row r="507" ht="22.8"/>
    <row r="508" ht="22.8"/>
    <row r="509" ht="22.8"/>
    <row r="510" ht="22.8"/>
    <row r="511" ht="22.8"/>
    <row r="512" ht="22.8"/>
    <row r="513" ht="22.8"/>
    <row r="514" ht="22.8"/>
    <row r="515" ht="22.8"/>
    <row r="516" ht="22.8"/>
    <row r="517" ht="22.8"/>
    <row r="518" ht="22.8"/>
    <row r="519" ht="22.8"/>
    <row r="520" ht="22.8"/>
    <row r="521" ht="22.8"/>
    <row r="522" ht="22.8"/>
    <row r="523" ht="22.8"/>
    <row r="524" ht="22.8"/>
    <row r="525" ht="22.8"/>
    <row r="526" ht="22.8"/>
    <row r="527" ht="22.8"/>
    <row r="528" ht="22.8"/>
    <row r="529" ht="22.8"/>
    <row r="530" ht="22.8"/>
    <row r="531" ht="22.8"/>
    <row r="532" ht="22.8"/>
    <row r="533" ht="22.8"/>
    <row r="534" ht="22.8"/>
    <row r="535" ht="22.8"/>
    <row r="536" ht="22.8"/>
    <row r="537" ht="22.8"/>
    <row r="538" ht="22.8"/>
    <row r="539" ht="22.8"/>
    <row r="540" ht="22.8"/>
    <row r="541" ht="22.8"/>
    <row r="542" ht="22.8"/>
    <row r="543" ht="22.8"/>
    <row r="544" ht="22.8"/>
    <row r="545" ht="22.8"/>
    <row r="546" ht="22.8"/>
    <row r="547" ht="22.8"/>
    <row r="548" ht="22.8"/>
    <row r="549" ht="22.8"/>
    <row r="550" ht="22.8"/>
    <row r="551" ht="22.8"/>
    <row r="552" ht="22.8"/>
    <row r="553" ht="22.8"/>
    <row r="554" ht="22.8"/>
    <row r="555" ht="22.8"/>
    <row r="556" ht="22.8"/>
    <row r="557" ht="22.8"/>
    <row r="558" ht="22.8"/>
    <row r="559" ht="22.8"/>
    <row r="560" ht="22.8"/>
    <row r="561" ht="22.8"/>
    <row r="562" ht="22.8"/>
    <row r="563" ht="22.8"/>
    <row r="564" ht="22.8"/>
    <row r="565" ht="22.8"/>
    <row r="566" ht="22.8"/>
    <row r="567" ht="22.8"/>
    <row r="568" ht="22.8"/>
    <row r="569" ht="22.8"/>
    <row r="570" ht="22.8"/>
    <row r="571" ht="22.8"/>
    <row r="572" ht="22.8"/>
    <row r="573" ht="22.8"/>
    <row r="574" ht="22.8"/>
    <row r="575" ht="22.8"/>
    <row r="576" ht="22.8"/>
    <row r="577" ht="22.8"/>
    <row r="578" ht="22.8"/>
    <row r="579" ht="22.8"/>
    <row r="580" ht="22.8"/>
    <row r="581" ht="22.8"/>
    <row r="582" ht="22.8"/>
    <row r="583" ht="22.8"/>
    <row r="584" ht="22.8"/>
    <row r="585" ht="22.8"/>
    <row r="586" ht="22.8"/>
    <row r="587" ht="22.8"/>
    <row r="588" ht="22.8"/>
    <row r="589" ht="22.8"/>
    <row r="590" ht="22.8"/>
    <row r="591" ht="22.8"/>
    <row r="592" ht="22.8"/>
    <row r="593" ht="22.8"/>
    <row r="594" ht="22.8"/>
    <row r="595" ht="22.8"/>
    <row r="596" ht="22.8"/>
    <row r="597" ht="22.8"/>
    <row r="598" ht="22.8"/>
    <row r="599" ht="22.8"/>
    <row r="600" ht="22.8"/>
    <row r="601" ht="22.8"/>
    <row r="602" ht="22.8"/>
    <row r="603" ht="22.8"/>
    <row r="604" ht="22.8"/>
    <row r="605" ht="22.8"/>
    <row r="606" ht="22.8"/>
    <row r="607" ht="22.8"/>
    <row r="608" ht="22.8"/>
    <row r="609" ht="22.8"/>
    <row r="610" ht="22.8"/>
    <row r="611" ht="22.8"/>
    <row r="612" ht="22.8"/>
    <row r="613" ht="22.8"/>
    <row r="614" ht="22.8"/>
    <row r="615" ht="22.8"/>
    <row r="616" ht="22.8"/>
    <row r="617" ht="22.8"/>
    <row r="618" ht="22.8"/>
    <row r="619" ht="22.8"/>
    <row r="620" ht="22.8"/>
    <row r="621" ht="22.8"/>
    <row r="622" ht="22.8"/>
    <row r="623" ht="22.8"/>
    <row r="624" ht="22.8"/>
    <row r="625" ht="22.8"/>
    <row r="626" ht="22.8"/>
    <row r="627" ht="22.8"/>
    <row r="628" ht="22.8"/>
    <row r="629" ht="22.8"/>
    <row r="630" ht="22.8"/>
    <row r="631" ht="22.8"/>
    <row r="632" ht="22.8"/>
    <row r="633" ht="22.8"/>
    <row r="634" ht="22.8"/>
    <row r="635" ht="22.8"/>
    <row r="636" ht="22.8"/>
    <row r="637" ht="22.8"/>
    <row r="638" ht="22.8"/>
    <row r="639" ht="22.8"/>
    <row r="640" ht="22.8"/>
    <row r="641" ht="22.8"/>
    <row r="642" ht="22.8"/>
    <row r="643" ht="22.8"/>
    <row r="644" ht="22.8"/>
    <row r="645" ht="22.8"/>
    <row r="646" ht="22.8"/>
    <row r="647" ht="22.8"/>
    <row r="648" ht="22.8"/>
    <row r="649" ht="22.8"/>
    <row r="650" ht="22.8"/>
    <row r="651" ht="22.8"/>
    <row r="652" ht="22.8"/>
    <row r="653" ht="22.8"/>
    <row r="654" ht="22.8"/>
    <row r="655" ht="22.8"/>
    <row r="656" ht="22.8"/>
    <row r="657" ht="22.8"/>
    <row r="658" ht="22.8"/>
    <row r="659" ht="22.8"/>
    <row r="660" ht="22.8"/>
    <row r="661" ht="22.8"/>
    <row r="662" ht="22.8"/>
    <row r="663" ht="22.8"/>
    <row r="664" ht="22.8"/>
    <row r="665" ht="22.8"/>
    <row r="666" ht="22.8"/>
    <row r="667" ht="22.8"/>
    <row r="668" ht="22.8"/>
    <row r="669" ht="22.8"/>
    <row r="670" ht="22.8"/>
    <row r="671" ht="22.8"/>
    <row r="672" ht="22.8"/>
    <row r="673" ht="22.8"/>
    <row r="674" ht="22.8"/>
    <row r="675" ht="22.8"/>
    <row r="676" ht="22.8"/>
    <row r="677" ht="22.8"/>
    <row r="678" ht="22.8"/>
    <row r="679" ht="22.8"/>
    <row r="680" ht="22.8"/>
    <row r="681" ht="22.8"/>
    <row r="682" ht="22.8"/>
    <row r="683" ht="22.8"/>
    <row r="684" ht="22.8"/>
    <row r="685" ht="22.8"/>
    <row r="686" ht="22.8"/>
    <row r="687" ht="22.8"/>
    <row r="688" ht="22.8"/>
    <row r="689" ht="22.8"/>
    <row r="690" ht="22.8"/>
    <row r="691" ht="22.8"/>
    <row r="692" ht="22.8"/>
    <row r="693" ht="22.8"/>
    <row r="694" ht="22.8"/>
    <row r="695" ht="22.8"/>
    <row r="696" ht="22.8"/>
    <row r="697" ht="22.8"/>
    <row r="698" ht="22.8"/>
    <row r="699" ht="22.8"/>
    <row r="700" ht="22.8"/>
    <row r="701" ht="22.8"/>
    <row r="702" ht="22.8"/>
    <row r="703" ht="22.8"/>
    <row r="704" ht="22.8"/>
    <row r="705" ht="22.8"/>
    <row r="706" ht="22.8"/>
    <row r="707" ht="22.8"/>
    <row r="708" ht="22.8"/>
    <row r="709" ht="22.8"/>
    <row r="710" ht="22.8"/>
    <row r="711" ht="22.8"/>
    <row r="712" ht="22.8"/>
    <row r="713" ht="22.8"/>
    <row r="714" ht="22.8"/>
    <row r="715" ht="22.8"/>
    <row r="716" ht="22.8"/>
    <row r="717" ht="22.8"/>
    <row r="718" ht="22.8"/>
    <row r="719" ht="22.8"/>
    <row r="720" ht="22.8"/>
    <row r="721" ht="22.8"/>
    <row r="722" ht="22.8"/>
    <row r="723" ht="22.8"/>
    <row r="724" ht="22.8"/>
    <row r="725" ht="22.8"/>
    <row r="726" ht="22.8"/>
    <row r="727" ht="22.8"/>
    <row r="728" ht="22.8"/>
    <row r="729" ht="22.8"/>
    <row r="730" ht="22.8"/>
    <row r="731" ht="22.8"/>
    <row r="732" ht="22.8"/>
    <row r="733" ht="22.8"/>
    <row r="734" ht="22.8"/>
    <row r="735" ht="22.8"/>
    <row r="736" ht="22.8"/>
    <row r="737" ht="22.8"/>
    <row r="738" ht="22.8"/>
    <row r="739" ht="22.8"/>
    <row r="740" ht="22.8"/>
    <row r="741" ht="22.8"/>
    <row r="742" ht="22.8"/>
    <row r="743" ht="22.8"/>
    <row r="744" ht="22.8"/>
    <row r="745" ht="22.8"/>
    <row r="746" ht="22.8"/>
    <row r="747" ht="22.8"/>
    <row r="748" ht="22.8"/>
    <row r="749" ht="22.8"/>
    <row r="750" ht="22.8"/>
    <row r="751" ht="22.8"/>
    <row r="752" ht="22.8"/>
    <row r="753" ht="22.8"/>
    <row r="754" ht="22.8"/>
    <row r="755" ht="22.8"/>
    <row r="756" ht="22.8"/>
    <row r="757" ht="22.8"/>
    <row r="758" ht="22.8"/>
    <row r="759" ht="22.8"/>
    <row r="760" ht="22.8"/>
    <row r="761" ht="22.8"/>
    <row r="762" ht="22.8"/>
    <row r="763" ht="22.8"/>
    <row r="764" ht="22.8"/>
    <row r="765" ht="22.8"/>
    <row r="766" ht="22.8"/>
    <row r="767" ht="22.8"/>
    <row r="768" ht="22.8"/>
    <row r="769" ht="22.8"/>
    <row r="770" ht="22.8"/>
    <row r="771" ht="22.8"/>
    <row r="772" ht="22.8"/>
    <row r="773" ht="22.8"/>
    <row r="774" ht="22.8"/>
    <row r="775" ht="22.8"/>
    <row r="776" ht="22.8"/>
    <row r="777" ht="22.8"/>
    <row r="778" ht="22.8"/>
    <row r="779" ht="22.8"/>
    <row r="780" ht="22.8"/>
    <row r="781" ht="22.8"/>
    <row r="782" ht="22.8"/>
    <row r="783" ht="22.8"/>
    <row r="784" ht="22.8"/>
    <row r="785" ht="22.8"/>
    <row r="786" ht="22.8"/>
    <row r="787" ht="22.8"/>
    <row r="788" ht="22.8"/>
    <row r="789" ht="22.8"/>
    <row r="790" ht="22.8"/>
    <row r="791" ht="22.8"/>
    <row r="792" ht="22.8"/>
    <row r="793" ht="22.8"/>
    <row r="794" ht="22.8"/>
    <row r="795" ht="22.8"/>
    <row r="796" ht="22.8"/>
    <row r="797" ht="22.8"/>
    <row r="798" ht="22.8"/>
    <row r="799" ht="22.8"/>
    <row r="800" ht="22.8"/>
    <row r="801" ht="22.8"/>
    <row r="802" ht="22.8"/>
    <row r="803" ht="22.8"/>
    <row r="804" ht="22.8"/>
    <row r="805" ht="22.8"/>
    <row r="806" ht="22.8"/>
    <row r="807" ht="22.8"/>
    <row r="808" ht="22.8"/>
    <row r="809" ht="22.8"/>
    <row r="810" ht="22.8"/>
    <row r="811" ht="22.8"/>
    <row r="812" ht="22.8"/>
    <row r="813" ht="22.8"/>
    <row r="814" ht="22.8"/>
    <row r="815" ht="22.8"/>
    <row r="816" ht="22.8"/>
    <row r="817" ht="22.8"/>
    <row r="818" ht="22.8"/>
    <row r="819" ht="22.8"/>
    <row r="820" ht="22.8"/>
    <row r="821" ht="22.8"/>
    <row r="822" ht="22.8"/>
    <row r="823" ht="22.8"/>
    <row r="824" ht="22.8"/>
    <row r="825" ht="22.8"/>
    <row r="826" ht="22.8"/>
    <row r="827" ht="22.8"/>
    <row r="828" ht="22.8"/>
    <row r="829" ht="22.8"/>
    <row r="830" ht="22.8"/>
    <row r="831" ht="22.8"/>
    <row r="832" ht="22.8"/>
    <row r="833" ht="22.8"/>
    <row r="834" ht="22.8"/>
    <row r="835" ht="22.8"/>
    <row r="836" ht="22.8"/>
    <row r="837" ht="22.8"/>
    <row r="838" ht="22.8"/>
    <row r="839" ht="22.8"/>
    <row r="840" ht="22.8"/>
    <row r="841" ht="22.8"/>
    <row r="842" ht="22.8"/>
    <row r="843" ht="22.8"/>
    <row r="844" ht="22.8"/>
    <row r="845" ht="22.8"/>
    <row r="846" ht="22.8"/>
    <row r="847" ht="22.8"/>
    <row r="848" ht="22.8"/>
    <row r="849" ht="22.8"/>
    <row r="850" ht="22.8"/>
    <row r="851" ht="22.8"/>
    <row r="852" ht="22.8"/>
    <row r="853" ht="22.8"/>
    <row r="854" ht="22.8"/>
    <row r="855" ht="22.8"/>
    <row r="856" ht="22.8"/>
    <row r="857" ht="22.8"/>
    <row r="858" ht="22.8"/>
    <row r="859" ht="22.8"/>
    <row r="860" ht="22.8"/>
    <row r="861" ht="22.8"/>
    <row r="862" ht="22.8"/>
    <row r="863" ht="22.8"/>
    <row r="864" ht="22.8"/>
    <row r="865" ht="22.8"/>
    <row r="866" ht="22.8"/>
    <row r="867" ht="22.8"/>
    <row r="868" ht="22.8"/>
    <row r="869" ht="22.8"/>
    <row r="870" ht="22.8"/>
    <row r="871" ht="22.8"/>
    <row r="872" ht="22.8"/>
    <row r="873" ht="22.8"/>
    <row r="874" ht="22.8"/>
    <row r="875" ht="22.8"/>
    <row r="876" ht="22.8"/>
    <row r="877" ht="22.8"/>
    <row r="878" ht="22.8"/>
    <row r="879" ht="22.8"/>
    <row r="880" ht="22.8"/>
    <row r="881" ht="22.8"/>
    <row r="882" ht="22.8"/>
    <row r="883" ht="22.8"/>
    <row r="884" ht="22.8"/>
    <row r="885" ht="22.8"/>
    <row r="886" ht="22.8"/>
    <row r="887" ht="22.8"/>
    <row r="888" ht="22.8"/>
    <row r="889" ht="22.8"/>
    <row r="890" ht="22.8"/>
    <row r="891" ht="22.8"/>
    <row r="892" ht="22.8"/>
    <row r="893" ht="22.8"/>
    <row r="894" ht="22.8"/>
    <row r="895" ht="22.8"/>
    <row r="896" ht="22.8"/>
    <row r="897" ht="22.8"/>
    <row r="898" ht="22.8"/>
    <row r="899" ht="22.8"/>
    <row r="900" ht="22.8"/>
    <row r="901" ht="22.8"/>
    <row r="902" ht="22.8"/>
    <row r="903" ht="22.8"/>
    <row r="904" ht="22.8"/>
    <row r="905" ht="22.8"/>
    <row r="906" ht="22.8"/>
    <row r="907" ht="22.8"/>
    <row r="908" ht="22.8"/>
    <row r="909" ht="22.8"/>
    <row r="910" ht="22.8"/>
    <row r="911" ht="22.8"/>
    <row r="912" ht="22.8"/>
    <row r="913" ht="22.8"/>
    <row r="914" ht="22.8"/>
    <row r="915" ht="22.8"/>
    <row r="916" ht="22.8"/>
    <row r="917" ht="22.8"/>
    <row r="918" ht="22.8"/>
    <row r="919" ht="22.8"/>
    <row r="920" ht="22.8"/>
    <row r="921" ht="22.8"/>
    <row r="922" ht="22.8"/>
    <row r="923" ht="22.8"/>
    <row r="924" ht="22.8"/>
    <row r="925" ht="22.8"/>
    <row r="926" ht="22.8"/>
    <row r="927" ht="22.8"/>
    <row r="928" ht="22.8"/>
    <row r="929" ht="22.8"/>
    <row r="930" ht="22.8"/>
    <row r="931" ht="22.8"/>
    <row r="932" ht="22.8"/>
    <row r="933" ht="22.8"/>
    <row r="934" ht="22.8"/>
    <row r="935" ht="22.8"/>
    <row r="936" ht="22.8"/>
    <row r="937" ht="22.8"/>
    <row r="938" ht="22.8"/>
    <row r="939" ht="22.8"/>
    <row r="940" ht="22.8"/>
    <row r="941" ht="22.8"/>
    <row r="942" ht="22.8"/>
    <row r="943" ht="22.8"/>
    <row r="944" ht="22.8"/>
    <row r="945" ht="22.8"/>
    <row r="946" ht="22.8"/>
    <row r="947" ht="22.8"/>
    <row r="948" ht="22.8"/>
    <row r="949" ht="22.8"/>
    <row r="950" ht="22.8"/>
    <row r="951" ht="22.8"/>
    <row r="952" ht="22.8"/>
    <row r="953" ht="22.8"/>
    <row r="954" ht="22.8"/>
    <row r="955" ht="22.8"/>
    <row r="956" ht="22.8"/>
    <row r="957" ht="22.8"/>
    <row r="958" ht="22.8"/>
    <row r="959" ht="22.8"/>
    <row r="960" ht="22.8"/>
    <row r="961" ht="22.8"/>
    <row r="962" ht="22.8"/>
    <row r="963" ht="22.8"/>
    <row r="964" ht="22.8"/>
    <row r="965" ht="22.8"/>
    <row r="966" ht="22.8"/>
    <row r="967" ht="22.8"/>
    <row r="968" ht="22.8"/>
  </sheetData>
  <autoFilter ref="A6:BG6" xr:uid="{00000000-0001-0000-0000-000000000000}"/>
  <mergeCells count="24">
    <mergeCell ref="A4:A6"/>
    <mergeCell ref="A3:AO3"/>
    <mergeCell ref="B24:D24"/>
    <mergeCell ref="E4:E6"/>
    <mergeCell ref="AG4:AJ4"/>
    <mergeCell ref="AK4:AN4"/>
    <mergeCell ref="S4:T4"/>
    <mergeCell ref="U4:V4"/>
    <mergeCell ref="K4:L4"/>
    <mergeCell ref="M4:N4"/>
    <mergeCell ref="O4:P4"/>
    <mergeCell ref="B4:B6"/>
    <mergeCell ref="C4:C6"/>
    <mergeCell ref="D4:D6"/>
    <mergeCell ref="I4:J4"/>
    <mergeCell ref="U5:V5"/>
    <mergeCell ref="AC4:AD4"/>
    <mergeCell ref="AE4:AF4"/>
    <mergeCell ref="Q4:R4"/>
    <mergeCell ref="F4:F6"/>
    <mergeCell ref="G4:H4"/>
    <mergeCell ref="W4:X4"/>
    <mergeCell ref="Y4:Z4"/>
    <mergeCell ref="AA4:AB4"/>
  </mergeCells>
  <phoneticPr fontId="25" type="noConversion"/>
  <conditionalFormatting sqref="C1:C1048576">
    <cfRule type="duplicateValues" dxfId="8" priority="1"/>
  </conditionalFormatting>
  <pageMargins left="0.39370078740157483" right="0.22" top="0.39370078740157483" bottom="0.19685039370078741" header="0.31496062992125984" footer="0.19685039370078741"/>
  <pageSetup paperSize="9" scale="38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4" operator="containsText" id="{7C3E28E8-D03B-457E-8E51-E17F38CAC8A1}">
            <xm:f>NOT(ISERROR(SEARCH(#REF!,A4)))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A5:U5 W5:AG5 G6:AJ6 Y7:Z11 A4:AG4 B6:D23 AO6:AO23 AA7:AB23 AG7:AN24 A7:A24</xm:sqref>
        </x14:conditionalFormatting>
        <x14:conditionalFormatting xmlns:xm="http://schemas.microsoft.com/office/excel/2006/main">
          <x14:cfRule type="containsText" priority="48" operator="containsText" id="{095C362F-A06D-4B1B-BDA8-9C879CD3620D}">
            <xm:f>NOT(ISERROR(SEARCH(#REF!,AK4)))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AK4:AK6</xm:sqref>
        </x14:conditionalFormatting>
        <x14:conditionalFormatting xmlns:xm="http://schemas.microsoft.com/office/excel/2006/main">
          <x14:cfRule type="containsText" priority="55" operator="containsText" id="{078A3B22-E89E-4F72-826C-EB6D497D17A8}">
            <xm:f>NOT(ISERROR(SEARCH(#REF!,AL6)))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AL6:AN6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F9A6-E1DF-476D-9C6E-E0324B431CFB}">
  <dimension ref="A1:BF955"/>
  <sheetViews>
    <sheetView topLeftCell="D3" zoomScale="40" zoomScaleNormal="40" workbookViewId="0">
      <selection activeCell="AB23" sqref="AB23"/>
    </sheetView>
  </sheetViews>
  <sheetFormatPr defaultColWidth="11.09765625" defaultRowHeight="15" customHeight="1"/>
  <cols>
    <col min="1" max="1" width="11.09765625" style="86"/>
    <col min="2" max="2" width="24.19921875" style="78" customWidth="1"/>
    <col min="3" max="3" width="40.69921875" style="79" customWidth="1"/>
    <col min="4" max="4" width="25.19921875" style="85" customWidth="1"/>
    <col min="5" max="5" width="33.3984375" style="118" hidden="1" customWidth="1"/>
    <col min="6" max="17" width="7.8984375" style="85" hidden="1" customWidth="1"/>
    <col min="18" max="29" width="12" style="85" customWidth="1"/>
    <col min="30" max="31" width="11.69921875" style="85" customWidth="1"/>
    <col min="32" max="32" width="13.59765625" style="84" customWidth="1"/>
    <col min="33" max="35" width="11.296875" style="84" customWidth="1"/>
    <col min="36" max="40" width="11.296875" style="84" hidden="1" customWidth="1"/>
    <col min="41" max="16384" width="11.09765625" style="85"/>
  </cols>
  <sheetData>
    <row r="1" spans="1:58" ht="37.950000000000003" hidden="1" customHeight="1">
      <c r="A1" s="77"/>
      <c r="D1" s="80"/>
      <c r="E1" s="81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1:58" ht="37.950000000000003" hidden="1" customHeight="1">
      <c r="D2" s="80"/>
      <c r="E2" s="81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</row>
    <row r="3" spans="1:58" ht="63.45" customHeight="1">
      <c r="A3" s="133" t="s">
        <v>117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</row>
    <row r="4" spans="1:58" s="93" customFormat="1" ht="40.950000000000003" customHeight="1">
      <c r="A4" s="131" t="s">
        <v>4</v>
      </c>
      <c r="B4" s="131" t="s">
        <v>6</v>
      </c>
      <c r="C4" s="136" t="s">
        <v>5</v>
      </c>
      <c r="D4" s="138" t="s">
        <v>34</v>
      </c>
      <c r="E4" s="141" t="s">
        <v>52</v>
      </c>
      <c r="F4" s="134">
        <v>26</v>
      </c>
      <c r="G4" s="135"/>
      <c r="H4" s="134">
        <v>27</v>
      </c>
      <c r="I4" s="135"/>
      <c r="J4" s="134">
        <v>28</v>
      </c>
      <c r="K4" s="135"/>
      <c r="L4" s="134">
        <v>29</v>
      </c>
      <c r="M4" s="135"/>
      <c r="N4" s="134">
        <v>30</v>
      </c>
      <c r="O4" s="135"/>
      <c r="P4" s="134">
        <v>31</v>
      </c>
      <c r="Q4" s="135"/>
      <c r="R4" s="134">
        <v>22</v>
      </c>
      <c r="S4" s="135"/>
      <c r="T4" s="134">
        <v>23</v>
      </c>
      <c r="U4" s="135"/>
      <c r="V4" s="134">
        <v>24</v>
      </c>
      <c r="W4" s="135"/>
      <c r="X4" s="134">
        <v>25</v>
      </c>
      <c r="Y4" s="135"/>
      <c r="Z4" s="134">
        <v>26</v>
      </c>
      <c r="AA4" s="135"/>
      <c r="AB4" s="134">
        <v>27</v>
      </c>
      <c r="AC4" s="135"/>
      <c r="AD4" s="134">
        <v>28</v>
      </c>
      <c r="AE4" s="135"/>
      <c r="AF4" s="144" t="s">
        <v>24</v>
      </c>
      <c r="AG4" s="145"/>
      <c r="AH4" s="145"/>
      <c r="AI4" s="146"/>
      <c r="AJ4" s="144" t="s">
        <v>23</v>
      </c>
      <c r="AK4" s="145"/>
      <c r="AL4" s="145"/>
      <c r="AM4" s="146"/>
      <c r="AN4" s="92"/>
      <c r="BA4" s="83"/>
      <c r="BB4" s="83"/>
      <c r="BC4" s="83"/>
      <c r="BD4" s="83"/>
      <c r="BE4" s="83"/>
      <c r="BF4" s="83"/>
    </row>
    <row r="5" spans="1:58" s="93" customFormat="1" ht="40.950000000000003" customHeight="1">
      <c r="A5" s="131"/>
      <c r="B5" s="131"/>
      <c r="C5" s="136"/>
      <c r="D5" s="139"/>
      <c r="E5" s="142"/>
      <c r="F5" s="87"/>
      <c r="G5" s="88"/>
      <c r="H5" s="87"/>
      <c r="I5" s="88"/>
      <c r="J5" s="87"/>
      <c r="K5" s="88"/>
      <c r="L5" s="87"/>
      <c r="M5" s="88"/>
      <c r="N5" s="87"/>
      <c r="O5" s="88"/>
      <c r="P5" s="87"/>
      <c r="Q5" s="88"/>
      <c r="R5" s="94">
        <v>37500</v>
      </c>
      <c r="S5" s="94">
        <v>50000</v>
      </c>
      <c r="T5" s="147">
        <v>75000</v>
      </c>
      <c r="U5" s="148"/>
      <c r="V5" s="94">
        <v>37500</v>
      </c>
      <c r="W5" s="94">
        <v>50000</v>
      </c>
      <c r="X5" s="94">
        <v>37500</v>
      </c>
      <c r="Y5" s="94">
        <v>50000</v>
      </c>
      <c r="Z5" s="94">
        <v>37500</v>
      </c>
      <c r="AA5" s="94">
        <v>50000</v>
      </c>
      <c r="AB5" s="94">
        <v>37500</v>
      </c>
      <c r="AC5" s="94">
        <v>50000</v>
      </c>
      <c r="AD5" s="94">
        <v>37500</v>
      </c>
      <c r="AE5" s="94">
        <v>50000</v>
      </c>
      <c r="AF5" s="89"/>
      <c r="AG5" s="90"/>
      <c r="AH5" s="90"/>
      <c r="AI5" s="91"/>
      <c r="AJ5" s="89"/>
      <c r="AK5" s="90"/>
      <c r="AL5" s="90"/>
      <c r="AM5" s="91"/>
      <c r="AN5" s="92"/>
      <c r="BA5" s="83"/>
      <c r="BB5" s="83"/>
      <c r="BC5" s="83"/>
      <c r="BD5" s="83"/>
      <c r="BE5" s="83"/>
      <c r="BF5" s="83"/>
    </row>
    <row r="6" spans="1:58" ht="39.450000000000003" customHeight="1">
      <c r="A6" s="131"/>
      <c r="B6" s="132"/>
      <c r="C6" s="137"/>
      <c r="D6" s="140"/>
      <c r="E6" s="143"/>
      <c r="F6" s="95" t="s">
        <v>26</v>
      </c>
      <c r="G6" s="95" t="s">
        <v>7</v>
      </c>
      <c r="H6" s="95" t="s">
        <v>26</v>
      </c>
      <c r="I6" s="95" t="s">
        <v>7</v>
      </c>
      <c r="J6" s="95" t="s">
        <v>26</v>
      </c>
      <c r="K6" s="95" t="s">
        <v>7</v>
      </c>
      <c r="L6" s="95" t="s">
        <v>26</v>
      </c>
      <c r="M6" s="95" t="s">
        <v>7</v>
      </c>
      <c r="N6" s="95" t="s">
        <v>26</v>
      </c>
      <c r="O6" s="95" t="s">
        <v>7</v>
      </c>
      <c r="P6" s="96" t="s">
        <v>8</v>
      </c>
      <c r="Q6" s="96" t="s">
        <v>7</v>
      </c>
      <c r="R6" s="95" t="s">
        <v>26</v>
      </c>
      <c r="S6" s="95" t="s">
        <v>7</v>
      </c>
      <c r="T6" s="96" t="s">
        <v>8</v>
      </c>
      <c r="U6" s="96" t="s">
        <v>7</v>
      </c>
      <c r="V6" s="95" t="s">
        <v>26</v>
      </c>
      <c r="W6" s="95" t="s">
        <v>7</v>
      </c>
      <c r="X6" s="95" t="s">
        <v>26</v>
      </c>
      <c r="Y6" s="95" t="s">
        <v>7</v>
      </c>
      <c r="Z6" s="95" t="s">
        <v>26</v>
      </c>
      <c r="AA6" s="95" t="s">
        <v>7</v>
      </c>
      <c r="AB6" s="95" t="s">
        <v>26</v>
      </c>
      <c r="AC6" s="95" t="s">
        <v>7</v>
      </c>
      <c r="AD6" s="95" t="s">
        <v>26</v>
      </c>
      <c r="AE6" s="95" t="s">
        <v>7</v>
      </c>
      <c r="AF6" s="97" t="s">
        <v>26</v>
      </c>
      <c r="AG6" s="97" t="s">
        <v>7</v>
      </c>
      <c r="AH6" s="97" t="s">
        <v>8</v>
      </c>
      <c r="AI6" s="97" t="s">
        <v>22</v>
      </c>
      <c r="AJ6" s="97" t="s">
        <v>26</v>
      </c>
      <c r="AK6" s="97" t="s">
        <v>7</v>
      </c>
      <c r="AL6" s="97" t="s">
        <v>8</v>
      </c>
      <c r="AM6" s="97" t="s">
        <v>22</v>
      </c>
      <c r="AN6" s="97" t="s">
        <v>16</v>
      </c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82"/>
      <c r="BB6" s="82"/>
      <c r="BC6" s="82"/>
      <c r="BD6" s="82"/>
      <c r="BE6" s="82"/>
      <c r="BF6" s="82"/>
    </row>
    <row r="7" spans="1:58" ht="44.25" customHeight="1">
      <c r="A7" s="98" t="s">
        <v>119</v>
      </c>
      <c r="B7" s="99" t="s">
        <v>102</v>
      </c>
      <c r="C7" s="100" t="s">
        <v>103</v>
      </c>
      <c r="D7" s="101" t="s">
        <v>34</v>
      </c>
      <c r="E7" s="102" t="s">
        <v>62</v>
      </c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4"/>
      <c r="Q7" s="104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5">
        <f t="shared" ref="AF7:AF10" si="0">IF(D7="Không có tay nghề",SUMIF($F$6:$AE$6,$AF$6,F7:AE7),0)</f>
        <v>0</v>
      </c>
      <c r="AG7" s="105">
        <f t="shared" ref="AG7:AG10" si="1">IF(D7="Không có tay nghề",SUMIF($F$6:$AE$6,$AG$6,F7:AE7),0)</f>
        <v>0</v>
      </c>
      <c r="AH7" s="105">
        <f t="shared" ref="AH7:AH10" si="2">IF(D7="Không có tay nghề",SUMIF($F$6:$AE$6,$AH$6,F7:AE7),0)</f>
        <v>0</v>
      </c>
      <c r="AI7" s="106"/>
      <c r="AJ7" s="105">
        <f>IF(D7="Có tay nghề",SUMIF($F$6:$AE$6,$AF$6,F7:AE7),0)</f>
        <v>0</v>
      </c>
      <c r="AK7" s="105">
        <f>IF(D7="Có tay nghề",SUMIF($F$6:$AE$6,$AG$6,F7:AE7),0)</f>
        <v>0</v>
      </c>
      <c r="AL7" s="105">
        <f>IF(D7="Có tay nghề",SUMIF($F$6:$AE$6,$AH$6,F7:AE7),0)</f>
        <v>0</v>
      </c>
      <c r="AM7" s="106"/>
      <c r="AN7" s="107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82"/>
      <c r="BB7" s="82"/>
      <c r="BC7" s="82"/>
      <c r="BD7" s="82"/>
      <c r="BE7" s="82"/>
      <c r="BF7" s="82"/>
    </row>
    <row r="8" spans="1:58" ht="44.25" customHeight="1">
      <c r="A8" s="98" t="s">
        <v>120</v>
      </c>
      <c r="B8" s="99" t="s">
        <v>100</v>
      </c>
      <c r="C8" s="100" t="s">
        <v>101</v>
      </c>
      <c r="D8" s="101" t="s">
        <v>34</v>
      </c>
      <c r="E8" s="102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4"/>
      <c r="Q8" s="104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5">
        <f t="shared" si="0"/>
        <v>0</v>
      </c>
      <c r="AG8" s="105">
        <f t="shared" si="1"/>
        <v>0</v>
      </c>
      <c r="AH8" s="105">
        <f t="shared" si="2"/>
        <v>0</v>
      </c>
      <c r="AI8" s="106"/>
      <c r="AJ8" s="105">
        <f>IF(D8="Có tay nghề",SUMIF($F$6:$AE$6,$AF$6,F8:AE8),0)</f>
        <v>0</v>
      </c>
      <c r="AK8" s="105">
        <f>IF(D8="Có tay nghề",SUMIF($F$6:$AE$6,$AG$6,F8:AE8),0)</f>
        <v>0</v>
      </c>
      <c r="AL8" s="105">
        <f>IF(D8="Có tay nghề",SUMIF($F$6:$AE$6,$AH$6,F8:AE8),0)</f>
        <v>0</v>
      </c>
      <c r="AM8" s="106"/>
      <c r="AN8" s="107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82"/>
      <c r="BB8" s="82"/>
      <c r="BC8" s="82"/>
      <c r="BD8" s="82"/>
      <c r="BE8" s="82"/>
      <c r="BF8" s="82"/>
    </row>
    <row r="9" spans="1:58" ht="44.25" customHeight="1">
      <c r="A9" s="98"/>
      <c r="B9" s="99"/>
      <c r="C9" s="100"/>
      <c r="D9" s="101"/>
      <c r="E9" s="102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4"/>
      <c r="Q9" s="104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5">
        <f t="shared" si="0"/>
        <v>0</v>
      </c>
      <c r="AG9" s="105">
        <f t="shared" si="1"/>
        <v>0</v>
      </c>
      <c r="AH9" s="105">
        <f t="shared" si="2"/>
        <v>0</v>
      </c>
      <c r="AI9" s="106"/>
      <c r="AJ9" s="105"/>
      <c r="AK9" s="105"/>
      <c r="AL9" s="105"/>
      <c r="AM9" s="106"/>
      <c r="AN9" s="107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82"/>
      <c r="BB9" s="82"/>
      <c r="BC9" s="82"/>
      <c r="BD9" s="82"/>
      <c r="BE9" s="82"/>
      <c r="BF9" s="82"/>
    </row>
    <row r="10" spans="1:58" ht="44.25" customHeight="1">
      <c r="A10" s="98"/>
      <c r="B10" s="99"/>
      <c r="C10" s="100"/>
      <c r="D10" s="101" t="s">
        <v>34</v>
      </c>
      <c r="E10" s="102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4"/>
      <c r="Q10" s="104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5">
        <f t="shared" si="0"/>
        <v>0</v>
      </c>
      <c r="AG10" s="105">
        <f t="shared" si="1"/>
        <v>0</v>
      </c>
      <c r="AH10" s="105">
        <f t="shared" si="2"/>
        <v>0</v>
      </c>
      <c r="AI10" s="106"/>
      <c r="AJ10" s="105">
        <f>IF(D10="Có tay nghề",SUMIF($F$6:$AE$6,$AF$6,F10:AE10),0)</f>
        <v>0</v>
      </c>
      <c r="AK10" s="105">
        <f>IF(D10="Có tay nghề",SUMIF($F$6:$AE$6,$AG$6,F10:AE10),0)</f>
        <v>0</v>
      </c>
      <c r="AL10" s="105">
        <f>IF(D10="Có tay nghề",SUMIF($F$6:$AE$6,$AH$6,F10:AE10),0)</f>
        <v>0</v>
      </c>
      <c r="AM10" s="106"/>
      <c r="AN10" s="107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82"/>
      <c r="BB10" s="82"/>
      <c r="BC10" s="82"/>
      <c r="BD10" s="82"/>
      <c r="BE10" s="82"/>
      <c r="BF10" s="82"/>
    </row>
    <row r="11" spans="1:58" ht="59.25" customHeight="1">
      <c r="A11" s="98"/>
      <c r="B11" s="130" t="s">
        <v>2</v>
      </c>
      <c r="C11" s="130"/>
      <c r="D11" s="108"/>
      <c r="E11" s="109"/>
      <c r="F11" s="110">
        <f t="shared" ref="F11:O11" si="3">COUNT(F7:F10)</f>
        <v>0</v>
      </c>
      <c r="G11" s="110">
        <f t="shared" si="3"/>
        <v>0</v>
      </c>
      <c r="H11" s="110">
        <f t="shared" si="3"/>
        <v>0</v>
      </c>
      <c r="I11" s="110">
        <f t="shared" si="3"/>
        <v>0</v>
      </c>
      <c r="J11" s="110">
        <f t="shared" si="3"/>
        <v>0</v>
      </c>
      <c r="K11" s="110">
        <f t="shared" si="3"/>
        <v>0</v>
      </c>
      <c r="L11" s="110">
        <f t="shared" si="3"/>
        <v>0</v>
      </c>
      <c r="M11" s="110">
        <f t="shared" si="3"/>
        <v>0</v>
      </c>
      <c r="N11" s="110">
        <f t="shared" si="3"/>
        <v>0</v>
      </c>
      <c r="O11" s="110">
        <f t="shared" si="3"/>
        <v>0</v>
      </c>
      <c r="P11" s="110"/>
      <c r="Q11" s="110"/>
      <c r="R11" s="110">
        <f t="shared" ref="R11:AE11" si="4">COUNT(R7:R10)</f>
        <v>0</v>
      </c>
      <c r="S11" s="110">
        <f t="shared" si="4"/>
        <v>0</v>
      </c>
      <c r="T11" s="110">
        <f t="shared" si="4"/>
        <v>0</v>
      </c>
      <c r="U11" s="110">
        <f t="shared" si="4"/>
        <v>0</v>
      </c>
      <c r="V11" s="110">
        <f t="shared" si="4"/>
        <v>0</v>
      </c>
      <c r="W11" s="110">
        <f t="shared" si="4"/>
        <v>0</v>
      </c>
      <c r="X11" s="110">
        <f t="shared" si="4"/>
        <v>0</v>
      </c>
      <c r="Y11" s="110">
        <f t="shared" si="4"/>
        <v>0</v>
      </c>
      <c r="Z11" s="110">
        <f t="shared" si="4"/>
        <v>0</v>
      </c>
      <c r="AA11" s="110">
        <f t="shared" si="4"/>
        <v>0</v>
      </c>
      <c r="AB11" s="110">
        <f t="shared" si="4"/>
        <v>0</v>
      </c>
      <c r="AC11" s="110">
        <f t="shared" si="4"/>
        <v>0</v>
      </c>
      <c r="AD11" s="110">
        <f t="shared" si="4"/>
        <v>0</v>
      </c>
      <c r="AE11" s="110">
        <f t="shared" si="4"/>
        <v>0</v>
      </c>
      <c r="AF11" s="105">
        <f t="shared" ref="AF11:AL11" si="5">SUM(AF7:AF10)</f>
        <v>0</v>
      </c>
      <c r="AG11" s="105">
        <f t="shared" si="5"/>
        <v>0</v>
      </c>
      <c r="AH11" s="105">
        <f t="shared" si="5"/>
        <v>0</v>
      </c>
      <c r="AI11" s="105">
        <f t="shared" si="5"/>
        <v>0</v>
      </c>
      <c r="AJ11" s="105">
        <f t="shared" si="5"/>
        <v>0</v>
      </c>
      <c r="AK11" s="105">
        <f t="shared" si="5"/>
        <v>0</v>
      </c>
      <c r="AL11" s="105">
        <f t="shared" si="5"/>
        <v>0</v>
      </c>
      <c r="AM11" s="105"/>
      <c r="AN11" s="111"/>
    </row>
    <row r="12" spans="1:58" ht="21">
      <c r="A12" s="112"/>
      <c r="B12" s="113"/>
      <c r="C12" s="114"/>
      <c r="D12" s="115"/>
      <c r="E12" s="116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117"/>
      <c r="AG12" s="117"/>
      <c r="AH12" s="117"/>
      <c r="AI12" s="117"/>
      <c r="AJ12" s="117"/>
      <c r="AK12" s="117"/>
      <c r="AL12" s="117"/>
      <c r="AM12" s="117"/>
      <c r="AN12" s="117"/>
    </row>
    <row r="13" spans="1:58" ht="21">
      <c r="A13" s="112"/>
      <c r="B13" s="85"/>
      <c r="C13" s="85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117"/>
      <c r="AG13" s="117"/>
      <c r="AH13" s="117"/>
      <c r="AI13" s="117"/>
      <c r="AJ13" s="117"/>
      <c r="AK13" s="117"/>
      <c r="AL13" s="117"/>
      <c r="AM13" s="117"/>
      <c r="AN13" s="117"/>
    </row>
    <row r="14" spans="1:58" ht="21">
      <c r="A14" s="112"/>
      <c r="B14" s="113"/>
      <c r="C14" s="114"/>
      <c r="D14" s="115"/>
      <c r="E14" s="116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117"/>
      <c r="AG14" s="117"/>
      <c r="AH14" s="117"/>
      <c r="AI14" s="117"/>
      <c r="AJ14" s="117"/>
      <c r="AK14" s="117"/>
      <c r="AL14" s="117"/>
      <c r="AM14" s="117"/>
      <c r="AN14" s="117"/>
    </row>
    <row r="15" spans="1:58" ht="21">
      <c r="A15" s="112"/>
      <c r="B15" s="113"/>
      <c r="C15" s="114"/>
      <c r="D15" s="115"/>
      <c r="E15" s="116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117"/>
      <c r="AG15" s="117"/>
      <c r="AH15" s="117"/>
      <c r="AI15" s="117"/>
      <c r="AJ15" s="117"/>
      <c r="AK15" s="117"/>
      <c r="AL15" s="117"/>
      <c r="AM15" s="117"/>
      <c r="AN15" s="117"/>
    </row>
    <row r="16" spans="1:58" ht="21">
      <c r="A16" s="112"/>
      <c r="B16" s="113"/>
      <c r="C16" s="114"/>
      <c r="D16" s="115"/>
      <c r="E16" s="116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117"/>
      <c r="AG16" s="117"/>
      <c r="AH16" s="117"/>
      <c r="AI16" s="117"/>
      <c r="AJ16" s="117"/>
      <c r="AK16" s="117"/>
      <c r="AL16" s="117"/>
      <c r="AM16" s="117"/>
      <c r="AN16" s="117"/>
    </row>
    <row r="17" spans="1:40" ht="21">
      <c r="A17" s="112"/>
      <c r="B17" s="113"/>
      <c r="C17" s="114"/>
      <c r="D17" s="115"/>
      <c r="E17" s="116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117"/>
      <c r="AG17" s="117"/>
      <c r="AH17" s="117"/>
      <c r="AI17" s="117"/>
      <c r="AJ17" s="117"/>
      <c r="AK17" s="117"/>
      <c r="AL17" s="117"/>
      <c r="AM17" s="117"/>
      <c r="AN17" s="117"/>
    </row>
    <row r="18" spans="1:40" ht="21">
      <c r="A18" s="112"/>
      <c r="B18" s="113"/>
      <c r="C18" s="114"/>
      <c r="D18" s="115"/>
      <c r="E18" s="116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117"/>
      <c r="AG18" s="117"/>
      <c r="AH18" s="117"/>
      <c r="AI18" s="117"/>
      <c r="AJ18" s="117"/>
      <c r="AK18" s="117"/>
      <c r="AL18" s="117"/>
      <c r="AM18" s="117"/>
      <c r="AN18" s="117"/>
    </row>
    <row r="19" spans="1:40" ht="21">
      <c r="A19" s="112"/>
      <c r="B19" s="113"/>
      <c r="C19" s="114"/>
      <c r="D19" s="115"/>
      <c r="E19" s="116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117"/>
      <c r="AG19" s="117"/>
      <c r="AH19" s="117"/>
      <c r="AI19" s="117"/>
      <c r="AJ19" s="117"/>
      <c r="AK19" s="117"/>
      <c r="AL19" s="117"/>
      <c r="AM19" s="117"/>
      <c r="AN19" s="117"/>
    </row>
    <row r="20" spans="1:40" ht="21">
      <c r="A20" s="112"/>
      <c r="B20" s="113"/>
      <c r="C20" s="114"/>
      <c r="D20" s="115"/>
      <c r="E20" s="116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117"/>
      <c r="AG20" s="117"/>
      <c r="AH20" s="117"/>
      <c r="AI20" s="117"/>
      <c r="AJ20" s="117"/>
      <c r="AK20" s="117"/>
      <c r="AL20" s="117"/>
      <c r="AM20" s="117"/>
      <c r="AN20" s="117"/>
    </row>
    <row r="21" spans="1:40" ht="21">
      <c r="A21" s="112"/>
      <c r="B21" s="113"/>
      <c r="C21" s="114"/>
      <c r="D21" s="115"/>
      <c r="E21" s="116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117"/>
      <c r="AG21" s="117"/>
      <c r="AH21" s="117"/>
      <c r="AI21" s="117"/>
      <c r="AJ21" s="117"/>
      <c r="AK21" s="117"/>
      <c r="AL21" s="117"/>
      <c r="AM21" s="117"/>
      <c r="AN21" s="117"/>
    </row>
    <row r="22" spans="1:40" ht="21">
      <c r="A22" s="112"/>
      <c r="B22" s="113"/>
      <c r="C22" s="114"/>
      <c r="D22" s="115"/>
      <c r="E22" s="116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117"/>
      <c r="AG22" s="117"/>
      <c r="AH22" s="117"/>
      <c r="AI22" s="117"/>
      <c r="AJ22" s="117"/>
      <c r="AK22" s="117"/>
      <c r="AL22" s="117"/>
      <c r="AM22" s="117"/>
      <c r="AN22" s="117"/>
    </row>
    <row r="23" spans="1:40" s="126" customFormat="1" ht="116.25" customHeight="1">
      <c r="A23" s="119"/>
      <c r="B23" s="120"/>
      <c r="C23" s="121"/>
      <c r="D23" s="122"/>
      <c r="E23" s="123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5"/>
      <c r="AG23" s="125"/>
      <c r="AH23" s="125"/>
      <c r="AI23" s="125"/>
      <c r="AJ23" s="125"/>
      <c r="AK23" s="125"/>
      <c r="AL23" s="125"/>
      <c r="AM23" s="125"/>
      <c r="AN23" s="125"/>
    </row>
    <row r="24" spans="1:40" ht="21">
      <c r="A24" s="112"/>
      <c r="B24" s="113"/>
      <c r="C24" s="114"/>
      <c r="D24" s="115"/>
      <c r="E24" s="116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117"/>
      <c r="AG24" s="117"/>
      <c r="AH24" s="117"/>
      <c r="AI24" s="117"/>
      <c r="AJ24" s="117"/>
      <c r="AK24" s="117"/>
      <c r="AL24" s="117"/>
      <c r="AM24" s="117"/>
      <c r="AN24" s="117"/>
    </row>
    <row r="25" spans="1:40" ht="21">
      <c r="A25" s="112"/>
      <c r="B25" s="113"/>
      <c r="C25" s="114"/>
      <c r="D25" s="115"/>
      <c r="E25" s="116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117"/>
      <c r="AG25" s="117"/>
      <c r="AH25" s="117"/>
      <c r="AI25" s="117"/>
      <c r="AJ25" s="117"/>
      <c r="AK25" s="117"/>
      <c r="AL25" s="117"/>
      <c r="AM25" s="117"/>
      <c r="AN25" s="117"/>
    </row>
    <row r="26" spans="1:40" ht="21">
      <c r="A26" s="112"/>
      <c r="B26" s="113"/>
      <c r="C26" s="114"/>
      <c r="D26" s="115"/>
      <c r="E26" s="116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117"/>
      <c r="AG26" s="117"/>
      <c r="AH26" s="117"/>
      <c r="AI26" s="117"/>
      <c r="AJ26" s="117"/>
      <c r="AK26" s="117"/>
      <c r="AL26" s="117"/>
      <c r="AM26" s="117"/>
      <c r="AN26" s="117"/>
    </row>
    <row r="27" spans="1:40" ht="33" customHeight="1">
      <c r="A27" s="112"/>
      <c r="B27" s="113"/>
      <c r="C27" s="114"/>
      <c r="D27" s="115"/>
      <c r="E27" s="116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117"/>
      <c r="AG27" s="117"/>
      <c r="AH27" s="117"/>
      <c r="AI27" s="117"/>
      <c r="AJ27" s="117"/>
      <c r="AK27" s="117"/>
      <c r="AL27" s="117"/>
      <c r="AM27" s="117"/>
      <c r="AN27" s="117"/>
    </row>
    <row r="28" spans="1:40" ht="33" customHeight="1">
      <c r="A28" s="112"/>
      <c r="B28" s="113"/>
      <c r="C28" s="114"/>
      <c r="D28" s="115"/>
      <c r="E28" s="116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117"/>
      <c r="AG28" s="117"/>
      <c r="AH28" s="117"/>
      <c r="AI28" s="117"/>
      <c r="AJ28" s="117"/>
      <c r="AK28" s="117"/>
      <c r="AL28" s="117"/>
      <c r="AM28" s="117"/>
      <c r="AN28" s="117"/>
    </row>
    <row r="29" spans="1:40" ht="21"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127"/>
      <c r="AG29" s="127"/>
      <c r="AH29" s="127"/>
      <c r="AI29" s="127"/>
      <c r="AJ29" s="127"/>
      <c r="AK29" s="127"/>
      <c r="AL29" s="127"/>
      <c r="AM29" s="127"/>
      <c r="AN29" s="127"/>
    </row>
    <row r="30" spans="1:40" ht="21"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127"/>
      <c r="AG30" s="127"/>
      <c r="AH30" s="127"/>
      <c r="AI30" s="127"/>
      <c r="AJ30" s="127"/>
      <c r="AK30" s="127"/>
      <c r="AL30" s="127"/>
      <c r="AM30" s="127"/>
      <c r="AN30" s="127"/>
    </row>
    <row r="31" spans="1:40" ht="21"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127"/>
      <c r="AG31" s="127"/>
      <c r="AH31" s="127"/>
      <c r="AI31" s="127"/>
      <c r="AJ31" s="127"/>
      <c r="AK31" s="127"/>
      <c r="AL31" s="127"/>
      <c r="AM31" s="127"/>
      <c r="AN31" s="127"/>
    </row>
    <row r="32" spans="1:40" ht="21"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127"/>
      <c r="AG32" s="127"/>
      <c r="AH32" s="127"/>
      <c r="AI32" s="127"/>
      <c r="AJ32" s="127"/>
      <c r="AK32" s="127"/>
      <c r="AL32" s="127"/>
      <c r="AM32" s="127"/>
      <c r="AN32" s="127"/>
    </row>
    <row r="33" spans="6:40" ht="21"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127"/>
      <c r="AG33" s="127"/>
      <c r="AH33" s="127"/>
      <c r="AI33" s="127"/>
      <c r="AJ33" s="127"/>
      <c r="AK33" s="127"/>
      <c r="AL33" s="127"/>
      <c r="AM33" s="127"/>
      <c r="AN33" s="127"/>
    </row>
    <row r="34" spans="6:40" ht="21"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127"/>
      <c r="AG34" s="127"/>
      <c r="AH34" s="127"/>
      <c r="AI34" s="127"/>
      <c r="AJ34" s="127"/>
      <c r="AK34" s="127"/>
      <c r="AL34" s="127"/>
      <c r="AM34" s="127"/>
      <c r="AN34" s="127"/>
    </row>
    <row r="35" spans="6:40" ht="21"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127"/>
      <c r="AG35" s="127"/>
      <c r="AH35" s="127"/>
      <c r="AI35" s="127"/>
      <c r="AJ35" s="127"/>
      <c r="AK35" s="127"/>
      <c r="AL35" s="127"/>
      <c r="AM35" s="127"/>
      <c r="AN35" s="127"/>
    </row>
    <row r="36" spans="6:40" ht="21"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127"/>
      <c r="AG36" s="127"/>
      <c r="AH36" s="127"/>
      <c r="AI36" s="127"/>
      <c r="AJ36" s="127"/>
      <c r="AK36" s="127"/>
      <c r="AL36" s="127"/>
      <c r="AM36" s="127"/>
      <c r="AN36" s="127"/>
    </row>
    <row r="37" spans="6:40" ht="21"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127"/>
      <c r="AG37" s="127"/>
      <c r="AH37" s="127"/>
      <c r="AI37" s="127"/>
      <c r="AJ37" s="127"/>
      <c r="AK37" s="127"/>
      <c r="AL37" s="127"/>
      <c r="AM37" s="127"/>
      <c r="AN37" s="127"/>
    </row>
    <row r="38" spans="6:40" ht="21"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127"/>
      <c r="AG38" s="127"/>
      <c r="AH38" s="127"/>
      <c r="AI38" s="127"/>
      <c r="AJ38" s="127"/>
      <c r="AK38" s="127"/>
      <c r="AL38" s="127"/>
      <c r="AM38" s="127"/>
      <c r="AN38" s="127"/>
    </row>
    <row r="39" spans="6:40" ht="21"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127"/>
      <c r="AG39" s="127"/>
      <c r="AH39" s="127"/>
      <c r="AI39" s="127"/>
      <c r="AJ39" s="127"/>
      <c r="AK39" s="127"/>
      <c r="AL39" s="127"/>
      <c r="AM39" s="127"/>
      <c r="AN39" s="127"/>
    </row>
    <row r="40" spans="6:40" ht="21"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127"/>
      <c r="AG40" s="127"/>
      <c r="AH40" s="127"/>
      <c r="AI40" s="127"/>
      <c r="AJ40" s="127"/>
      <c r="AK40" s="127"/>
      <c r="AL40" s="127"/>
      <c r="AM40" s="127"/>
      <c r="AN40" s="127"/>
    </row>
    <row r="41" spans="6:40" ht="21"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127"/>
      <c r="AG41" s="127"/>
      <c r="AH41" s="127"/>
      <c r="AI41" s="127"/>
      <c r="AJ41" s="127"/>
      <c r="AK41" s="127"/>
      <c r="AL41" s="127"/>
      <c r="AM41" s="127"/>
      <c r="AN41" s="127"/>
    </row>
    <row r="42" spans="6:40" ht="21"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127"/>
      <c r="AG42" s="127"/>
      <c r="AH42" s="127"/>
      <c r="AI42" s="127"/>
      <c r="AJ42" s="127"/>
      <c r="AK42" s="127"/>
      <c r="AL42" s="127"/>
      <c r="AM42" s="127"/>
      <c r="AN42" s="127"/>
    </row>
    <row r="43" spans="6:40" ht="21"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127"/>
      <c r="AG43" s="127"/>
      <c r="AH43" s="127"/>
      <c r="AI43" s="127"/>
      <c r="AJ43" s="127"/>
      <c r="AK43" s="127"/>
      <c r="AL43" s="127"/>
      <c r="AM43" s="127"/>
      <c r="AN43" s="127"/>
    </row>
    <row r="44" spans="6:40" ht="21"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127"/>
      <c r="AG44" s="127"/>
      <c r="AH44" s="127"/>
      <c r="AI44" s="127"/>
      <c r="AJ44" s="127"/>
      <c r="AK44" s="127"/>
      <c r="AL44" s="127"/>
      <c r="AM44" s="127"/>
      <c r="AN44" s="127"/>
    </row>
    <row r="45" spans="6:40" ht="21"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127"/>
      <c r="AG45" s="127"/>
      <c r="AH45" s="127"/>
      <c r="AI45" s="127"/>
      <c r="AJ45" s="127"/>
      <c r="AK45" s="127"/>
      <c r="AL45" s="127"/>
      <c r="AM45" s="127"/>
      <c r="AN45" s="127"/>
    </row>
    <row r="46" spans="6:40" ht="21"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127"/>
      <c r="AG46" s="127"/>
      <c r="AH46" s="127"/>
      <c r="AI46" s="127"/>
      <c r="AJ46" s="127"/>
      <c r="AK46" s="127"/>
      <c r="AL46" s="127"/>
      <c r="AM46" s="127"/>
      <c r="AN46" s="127"/>
    </row>
    <row r="47" spans="6:40" ht="21"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127"/>
      <c r="AG47" s="127"/>
      <c r="AH47" s="127"/>
      <c r="AI47" s="127"/>
      <c r="AJ47" s="127"/>
      <c r="AK47" s="127"/>
      <c r="AL47" s="127"/>
      <c r="AM47" s="127"/>
      <c r="AN47" s="127"/>
    </row>
    <row r="48" spans="6:40" ht="21"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127"/>
      <c r="AG48" s="127"/>
      <c r="AH48" s="127"/>
      <c r="AI48" s="127"/>
      <c r="AJ48" s="127"/>
      <c r="AK48" s="127"/>
      <c r="AL48" s="127"/>
      <c r="AM48" s="127"/>
      <c r="AN48" s="127"/>
    </row>
    <row r="49" spans="6:40" ht="21"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127"/>
      <c r="AG49" s="127"/>
      <c r="AH49" s="127"/>
      <c r="AI49" s="127"/>
      <c r="AJ49" s="127"/>
      <c r="AK49" s="127"/>
      <c r="AL49" s="127"/>
      <c r="AM49" s="127"/>
      <c r="AN49" s="127"/>
    </row>
    <row r="50" spans="6:40" ht="21"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127"/>
      <c r="AG50" s="127"/>
      <c r="AH50" s="127"/>
      <c r="AI50" s="127"/>
      <c r="AJ50" s="127"/>
      <c r="AK50" s="127"/>
      <c r="AL50" s="127"/>
      <c r="AM50" s="127"/>
      <c r="AN50" s="127"/>
    </row>
    <row r="51" spans="6:40" ht="21"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127"/>
      <c r="AG51" s="127"/>
      <c r="AH51" s="127"/>
      <c r="AI51" s="127"/>
      <c r="AJ51" s="127"/>
      <c r="AK51" s="127"/>
      <c r="AL51" s="127"/>
      <c r="AM51" s="127"/>
      <c r="AN51" s="127"/>
    </row>
    <row r="52" spans="6:40" ht="21"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127"/>
      <c r="AG52" s="127"/>
      <c r="AH52" s="127"/>
      <c r="AI52" s="127"/>
      <c r="AJ52" s="127"/>
      <c r="AK52" s="127"/>
      <c r="AL52" s="127"/>
      <c r="AM52" s="127"/>
      <c r="AN52" s="127"/>
    </row>
    <row r="53" spans="6:40" ht="21"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127"/>
      <c r="AG53" s="127"/>
      <c r="AH53" s="127"/>
      <c r="AI53" s="127"/>
      <c r="AJ53" s="127"/>
      <c r="AK53" s="127"/>
      <c r="AL53" s="127"/>
      <c r="AM53" s="127"/>
      <c r="AN53" s="127"/>
    </row>
    <row r="54" spans="6:40" ht="21"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127"/>
      <c r="AG54" s="127"/>
      <c r="AH54" s="127"/>
      <c r="AI54" s="127"/>
      <c r="AJ54" s="127"/>
      <c r="AK54" s="127"/>
      <c r="AL54" s="127"/>
      <c r="AM54" s="127"/>
      <c r="AN54" s="127"/>
    </row>
    <row r="55" spans="6:40" ht="21"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127"/>
      <c r="AG55" s="127"/>
      <c r="AH55" s="127"/>
      <c r="AI55" s="127"/>
      <c r="AJ55" s="127"/>
      <c r="AK55" s="127"/>
      <c r="AL55" s="127"/>
      <c r="AM55" s="127"/>
      <c r="AN55" s="127"/>
    </row>
    <row r="56" spans="6:40" ht="21"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127"/>
      <c r="AG56" s="127"/>
      <c r="AH56" s="127"/>
      <c r="AI56" s="127"/>
      <c r="AJ56" s="127"/>
      <c r="AK56" s="127"/>
      <c r="AL56" s="127"/>
      <c r="AM56" s="127"/>
      <c r="AN56" s="127"/>
    </row>
    <row r="57" spans="6:40" ht="21"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127"/>
      <c r="AG57" s="127"/>
      <c r="AH57" s="127"/>
      <c r="AI57" s="127"/>
      <c r="AJ57" s="127"/>
      <c r="AK57" s="127"/>
      <c r="AL57" s="127"/>
      <c r="AM57" s="127"/>
      <c r="AN57" s="127"/>
    </row>
    <row r="58" spans="6:40" ht="21"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127"/>
      <c r="AG58" s="127"/>
      <c r="AH58" s="127"/>
      <c r="AI58" s="127"/>
      <c r="AJ58" s="127"/>
      <c r="AK58" s="127"/>
      <c r="AL58" s="127"/>
      <c r="AM58" s="127"/>
      <c r="AN58" s="127"/>
    </row>
    <row r="59" spans="6:40" ht="21"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127"/>
      <c r="AG59" s="127"/>
      <c r="AH59" s="127"/>
      <c r="AI59" s="127"/>
      <c r="AJ59" s="127"/>
      <c r="AK59" s="127"/>
      <c r="AL59" s="127"/>
      <c r="AM59" s="127"/>
      <c r="AN59" s="127"/>
    </row>
    <row r="60" spans="6:40" ht="21"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127"/>
      <c r="AG60" s="127"/>
      <c r="AH60" s="127"/>
      <c r="AI60" s="127"/>
      <c r="AJ60" s="127"/>
      <c r="AK60" s="127"/>
      <c r="AL60" s="127"/>
      <c r="AM60" s="127"/>
      <c r="AN60" s="127"/>
    </row>
    <row r="61" spans="6:40" ht="21"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127"/>
      <c r="AG61" s="127"/>
      <c r="AH61" s="127"/>
      <c r="AI61" s="127"/>
      <c r="AJ61" s="127"/>
      <c r="AK61" s="127"/>
      <c r="AL61" s="127"/>
      <c r="AM61" s="127"/>
      <c r="AN61" s="127"/>
    </row>
    <row r="62" spans="6:40" ht="21"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127"/>
      <c r="AG62" s="127"/>
      <c r="AH62" s="127"/>
      <c r="AI62" s="127"/>
      <c r="AJ62" s="127"/>
      <c r="AK62" s="127"/>
      <c r="AL62" s="127"/>
      <c r="AM62" s="127"/>
      <c r="AN62" s="127"/>
    </row>
    <row r="63" spans="6:40" ht="21"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127"/>
      <c r="AG63" s="127"/>
      <c r="AH63" s="127"/>
      <c r="AI63" s="127"/>
      <c r="AJ63" s="127"/>
      <c r="AK63" s="127"/>
      <c r="AL63" s="127"/>
      <c r="AM63" s="127"/>
      <c r="AN63" s="127"/>
    </row>
    <row r="64" spans="6:40" ht="21"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127"/>
      <c r="AG64" s="127"/>
      <c r="AH64" s="127"/>
      <c r="AI64" s="127"/>
      <c r="AJ64" s="127"/>
      <c r="AK64" s="127"/>
      <c r="AL64" s="127"/>
      <c r="AM64" s="127"/>
      <c r="AN64" s="127"/>
    </row>
    <row r="65" spans="6:40" ht="21"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127"/>
      <c r="AG65" s="127"/>
      <c r="AH65" s="127"/>
      <c r="AI65" s="127"/>
      <c r="AJ65" s="127"/>
      <c r="AK65" s="127"/>
      <c r="AL65" s="127"/>
      <c r="AM65" s="127"/>
      <c r="AN65" s="127"/>
    </row>
    <row r="66" spans="6:40" ht="21"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127"/>
      <c r="AG66" s="127"/>
      <c r="AH66" s="127"/>
      <c r="AI66" s="127"/>
      <c r="AJ66" s="127"/>
      <c r="AK66" s="127"/>
      <c r="AL66" s="127"/>
      <c r="AM66" s="127"/>
      <c r="AN66" s="127"/>
    </row>
    <row r="67" spans="6:40" ht="21"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127"/>
      <c r="AG67" s="127"/>
      <c r="AH67" s="127"/>
      <c r="AI67" s="127"/>
      <c r="AJ67" s="127"/>
      <c r="AK67" s="127"/>
      <c r="AL67" s="127"/>
      <c r="AM67" s="127"/>
      <c r="AN67" s="127"/>
    </row>
    <row r="68" spans="6:40" ht="21"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127"/>
      <c r="AG68" s="127"/>
      <c r="AH68" s="127"/>
      <c r="AI68" s="127"/>
      <c r="AJ68" s="127"/>
      <c r="AK68" s="127"/>
      <c r="AL68" s="127"/>
      <c r="AM68" s="127"/>
      <c r="AN68" s="127"/>
    </row>
    <row r="69" spans="6:40" ht="21"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127"/>
      <c r="AG69" s="127"/>
      <c r="AH69" s="127"/>
      <c r="AI69" s="127"/>
      <c r="AJ69" s="127"/>
      <c r="AK69" s="127"/>
      <c r="AL69" s="127"/>
      <c r="AM69" s="127"/>
      <c r="AN69" s="127"/>
    </row>
    <row r="70" spans="6:40" ht="21"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127"/>
      <c r="AG70" s="127"/>
      <c r="AH70" s="127"/>
      <c r="AI70" s="127"/>
      <c r="AJ70" s="127"/>
      <c r="AK70" s="127"/>
      <c r="AL70" s="127"/>
      <c r="AM70" s="127"/>
      <c r="AN70" s="127"/>
    </row>
    <row r="71" spans="6:40" ht="21"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127"/>
      <c r="AG71" s="127"/>
      <c r="AH71" s="127"/>
      <c r="AI71" s="127"/>
      <c r="AJ71" s="127"/>
      <c r="AK71" s="127"/>
      <c r="AL71" s="127"/>
      <c r="AM71" s="127"/>
      <c r="AN71" s="127"/>
    </row>
    <row r="72" spans="6:40" ht="21"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127"/>
      <c r="AG72" s="127"/>
      <c r="AH72" s="127"/>
      <c r="AI72" s="127"/>
      <c r="AJ72" s="127"/>
      <c r="AK72" s="127"/>
      <c r="AL72" s="127"/>
      <c r="AM72" s="127"/>
      <c r="AN72" s="127"/>
    </row>
    <row r="73" spans="6:40" ht="21"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127"/>
      <c r="AG73" s="127"/>
      <c r="AH73" s="127"/>
      <c r="AI73" s="127"/>
      <c r="AJ73" s="127"/>
      <c r="AK73" s="127"/>
      <c r="AL73" s="127"/>
      <c r="AM73" s="127"/>
      <c r="AN73" s="127"/>
    </row>
    <row r="74" spans="6:40" ht="21"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127"/>
      <c r="AG74" s="127"/>
      <c r="AH74" s="127"/>
      <c r="AI74" s="127"/>
      <c r="AJ74" s="127"/>
      <c r="AK74" s="127"/>
      <c r="AL74" s="127"/>
      <c r="AM74" s="127"/>
      <c r="AN74" s="127"/>
    </row>
    <row r="75" spans="6:40" ht="21"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127"/>
      <c r="AG75" s="127"/>
      <c r="AH75" s="127"/>
      <c r="AI75" s="127"/>
      <c r="AJ75" s="127"/>
      <c r="AK75" s="127"/>
      <c r="AL75" s="127"/>
      <c r="AM75" s="127"/>
      <c r="AN75" s="127"/>
    </row>
    <row r="76" spans="6:40" ht="21"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127"/>
      <c r="AG76" s="127"/>
      <c r="AH76" s="127"/>
      <c r="AI76" s="127"/>
      <c r="AJ76" s="127"/>
      <c r="AK76" s="127"/>
      <c r="AL76" s="127"/>
      <c r="AM76" s="127"/>
      <c r="AN76" s="127"/>
    </row>
    <row r="77" spans="6:40" ht="21"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127"/>
      <c r="AG77" s="127"/>
      <c r="AH77" s="127"/>
      <c r="AI77" s="127"/>
      <c r="AJ77" s="127"/>
      <c r="AK77" s="127"/>
      <c r="AL77" s="127"/>
      <c r="AM77" s="127"/>
      <c r="AN77" s="127"/>
    </row>
    <row r="78" spans="6:40" ht="21"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127"/>
      <c r="AG78" s="127"/>
      <c r="AH78" s="127"/>
      <c r="AI78" s="127"/>
      <c r="AJ78" s="127"/>
      <c r="AK78" s="127"/>
      <c r="AL78" s="127"/>
      <c r="AM78" s="127"/>
      <c r="AN78" s="127"/>
    </row>
    <row r="79" spans="6:40" ht="21"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127"/>
      <c r="AG79" s="127"/>
      <c r="AH79" s="127"/>
      <c r="AI79" s="127"/>
      <c r="AJ79" s="127"/>
      <c r="AK79" s="127"/>
      <c r="AL79" s="127"/>
      <c r="AM79" s="127"/>
      <c r="AN79" s="127"/>
    </row>
    <row r="80" spans="6:40" ht="21"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127"/>
      <c r="AG80" s="127"/>
      <c r="AH80" s="127"/>
      <c r="AI80" s="127"/>
      <c r="AJ80" s="127"/>
      <c r="AK80" s="127"/>
      <c r="AL80" s="127"/>
      <c r="AM80" s="127"/>
      <c r="AN80" s="127"/>
    </row>
    <row r="81" spans="6:40" ht="21"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127"/>
      <c r="AG81" s="127"/>
      <c r="AH81" s="127"/>
      <c r="AI81" s="127"/>
      <c r="AJ81" s="127"/>
      <c r="AK81" s="127"/>
      <c r="AL81" s="127"/>
      <c r="AM81" s="127"/>
      <c r="AN81" s="127"/>
    </row>
    <row r="82" spans="6:40" ht="21"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127"/>
      <c r="AG82" s="127"/>
      <c r="AH82" s="127"/>
      <c r="AI82" s="127"/>
      <c r="AJ82" s="127"/>
      <c r="AK82" s="127"/>
      <c r="AL82" s="127"/>
      <c r="AM82" s="127"/>
      <c r="AN82" s="127"/>
    </row>
    <row r="83" spans="6:40" ht="21"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127"/>
      <c r="AG83" s="127"/>
      <c r="AH83" s="127"/>
      <c r="AI83" s="127"/>
      <c r="AJ83" s="127"/>
      <c r="AK83" s="127"/>
      <c r="AL83" s="127"/>
      <c r="AM83" s="127"/>
      <c r="AN83" s="127"/>
    </row>
    <row r="84" spans="6:40" ht="21"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127"/>
      <c r="AG84" s="127"/>
      <c r="AH84" s="127"/>
      <c r="AI84" s="127"/>
      <c r="AJ84" s="127"/>
      <c r="AK84" s="127"/>
      <c r="AL84" s="127"/>
      <c r="AM84" s="127"/>
      <c r="AN84" s="127"/>
    </row>
    <row r="85" spans="6:40" ht="21"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127"/>
      <c r="AG85" s="127"/>
      <c r="AH85" s="127"/>
      <c r="AI85" s="127"/>
      <c r="AJ85" s="127"/>
      <c r="AK85" s="127"/>
      <c r="AL85" s="127"/>
      <c r="AM85" s="127"/>
      <c r="AN85" s="127"/>
    </row>
    <row r="86" spans="6:40" ht="21"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127"/>
      <c r="AG86" s="127"/>
      <c r="AH86" s="127"/>
      <c r="AI86" s="127"/>
      <c r="AJ86" s="127"/>
      <c r="AK86" s="127"/>
      <c r="AL86" s="127"/>
      <c r="AM86" s="127"/>
      <c r="AN86" s="127"/>
    </row>
    <row r="87" spans="6:40" ht="21"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127"/>
      <c r="AG87" s="127"/>
      <c r="AH87" s="127"/>
      <c r="AI87" s="127"/>
      <c r="AJ87" s="127"/>
      <c r="AK87" s="127"/>
      <c r="AL87" s="127"/>
      <c r="AM87" s="127"/>
      <c r="AN87" s="127"/>
    </row>
    <row r="88" spans="6:40" ht="21"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127"/>
      <c r="AG88" s="127"/>
      <c r="AH88" s="127"/>
      <c r="AI88" s="127"/>
      <c r="AJ88" s="127"/>
      <c r="AK88" s="127"/>
      <c r="AL88" s="127"/>
      <c r="AM88" s="127"/>
      <c r="AN88" s="127"/>
    </row>
    <row r="89" spans="6:40" ht="21"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127"/>
      <c r="AG89" s="127"/>
      <c r="AH89" s="127"/>
      <c r="AI89" s="127"/>
      <c r="AJ89" s="127"/>
      <c r="AK89" s="127"/>
      <c r="AL89" s="127"/>
      <c r="AM89" s="127"/>
      <c r="AN89" s="127"/>
    </row>
    <row r="90" spans="6:40" ht="21"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127"/>
      <c r="AG90" s="127"/>
      <c r="AH90" s="127"/>
      <c r="AI90" s="127"/>
      <c r="AJ90" s="127"/>
      <c r="AK90" s="127"/>
      <c r="AL90" s="127"/>
      <c r="AM90" s="127"/>
      <c r="AN90" s="127"/>
    </row>
    <row r="91" spans="6:40" ht="21"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127"/>
      <c r="AG91" s="127"/>
      <c r="AH91" s="127"/>
      <c r="AI91" s="127"/>
      <c r="AJ91" s="127"/>
      <c r="AK91" s="127"/>
      <c r="AL91" s="127"/>
      <c r="AM91" s="127"/>
      <c r="AN91" s="127"/>
    </row>
    <row r="92" spans="6:40" ht="21"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127"/>
      <c r="AG92" s="127"/>
      <c r="AH92" s="127"/>
      <c r="AI92" s="127"/>
      <c r="AJ92" s="127"/>
      <c r="AK92" s="127"/>
      <c r="AL92" s="127"/>
      <c r="AM92" s="127"/>
      <c r="AN92" s="127"/>
    </row>
    <row r="93" spans="6:40" ht="21"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127"/>
      <c r="AG93" s="127"/>
      <c r="AH93" s="127"/>
      <c r="AI93" s="127"/>
      <c r="AJ93" s="127"/>
      <c r="AK93" s="127"/>
      <c r="AL93" s="127"/>
      <c r="AM93" s="127"/>
      <c r="AN93" s="127"/>
    </row>
    <row r="94" spans="6:40" ht="21"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127"/>
      <c r="AG94" s="127"/>
      <c r="AH94" s="127"/>
      <c r="AI94" s="127"/>
      <c r="AJ94" s="127"/>
      <c r="AK94" s="127"/>
      <c r="AL94" s="127"/>
      <c r="AM94" s="127"/>
      <c r="AN94" s="127"/>
    </row>
    <row r="95" spans="6:40" ht="21"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127"/>
      <c r="AG95" s="127"/>
      <c r="AH95" s="127"/>
      <c r="AI95" s="127"/>
      <c r="AJ95" s="127"/>
      <c r="AK95" s="127"/>
      <c r="AL95" s="127"/>
      <c r="AM95" s="127"/>
      <c r="AN95" s="127"/>
    </row>
    <row r="96" spans="6:40" ht="21"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127"/>
      <c r="AG96" s="127"/>
      <c r="AH96" s="127"/>
      <c r="AI96" s="127"/>
      <c r="AJ96" s="127"/>
      <c r="AK96" s="127"/>
      <c r="AL96" s="127"/>
      <c r="AM96" s="127"/>
      <c r="AN96" s="127"/>
    </row>
    <row r="97" spans="6:40" ht="21"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127"/>
      <c r="AG97" s="127"/>
      <c r="AH97" s="127"/>
      <c r="AI97" s="127"/>
      <c r="AJ97" s="127"/>
      <c r="AK97" s="127"/>
      <c r="AL97" s="127"/>
      <c r="AM97" s="127"/>
      <c r="AN97" s="127"/>
    </row>
    <row r="98" spans="6:40" ht="21"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127"/>
      <c r="AG98" s="127"/>
      <c r="AH98" s="127"/>
      <c r="AI98" s="127"/>
      <c r="AJ98" s="127"/>
      <c r="AK98" s="127"/>
      <c r="AL98" s="127"/>
      <c r="AM98" s="127"/>
      <c r="AN98" s="127"/>
    </row>
    <row r="99" spans="6:40" ht="21"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127"/>
      <c r="AG99" s="127"/>
      <c r="AH99" s="127"/>
      <c r="AI99" s="127"/>
      <c r="AJ99" s="127"/>
      <c r="AK99" s="127"/>
      <c r="AL99" s="127"/>
      <c r="AM99" s="127"/>
      <c r="AN99" s="127"/>
    </row>
    <row r="100" spans="6:40" ht="21"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127"/>
      <c r="AG100" s="127"/>
      <c r="AH100" s="127"/>
      <c r="AI100" s="127"/>
      <c r="AJ100" s="127"/>
      <c r="AK100" s="127"/>
      <c r="AL100" s="127"/>
      <c r="AM100" s="127"/>
      <c r="AN100" s="127"/>
    </row>
    <row r="101" spans="6:40" ht="21"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127"/>
      <c r="AG101" s="127"/>
      <c r="AH101" s="127"/>
      <c r="AI101" s="127"/>
      <c r="AJ101" s="127"/>
      <c r="AK101" s="127"/>
      <c r="AL101" s="127"/>
      <c r="AM101" s="127"/>
      <c r="AN101" s="127"/>
    </row>
    <row r="102" spans="6:40" ht="21"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127"/>
      <c r="AG102" s="127"/>
      <c r="AH102" s="127"/>
      <c r="AI102" s="127"/>
      <c r="AJ102" s="127"/>
      <c r="AK102" s="127"/>
      <c r="AL102" s="127"/>
      <c r="AM102" s="127"/>
      <c r="AN102" s="127"/>
    </row>
    <row r="103" spans="6:40" ht="21"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127"/>
      <c r="AG103" s="127"/>
      <c r="AH103" s="127"/>
      <c r="AI103" s="127"/>
      <c r="AJ103" s="127"/>
      <c r="AK103" s="127"/>
      <c r="AL103" s="127"/>
      <c r="AM103" s="127"/>
      <c r="AN103" s="127"/>
    </row>
    <row r="104" spans="6:40" ht="21"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127"/>
      <c r="AG104" s="127"/>
      <c r="AH104" s="127"/>
      <c r="AI104" s="127"/>
      <c r="AJ104" s="127"/>
      <c r="AK104" s="127"/>
      <c r="AL104" s="127"/>
      <c r="AM104" s="127"/>
      <c r="AN104" s="127"/>
    </row>
    <row r="105" spans="6:40" ht="21"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127"/>
      <c r="AG105" s="127"/>
      <c r="AH105" s="127"/>
      <c r="AI105" s="127"/>
      <c r="AJ105" s="127"/>
      <c r="AK105" s="127"/>
      <c r="AL105" s="127"/>
      <c r="AM105" s="127"/>
      <c r="AN105" s="127"/>
    </row>
    <row r="106" spans="6:40" ht="21"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127"/>
      <c r="AG106" s="127"/>
      <c r="AH106" s="127"/>
      <c r="AI106" s="127"/>
      <c r="AJ106" s="127"/>
      <c r="AK106" s="127"/>
      <c r="AL106" s="127"/>
      <c r="AM106" s="127"/>
      <c r="AN106" s="127"/>
    </row>
    <row r="107" spans="6:40" ht="21"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127"/>
      <c r="AG107" s="127"/>
      <c r="AH107" s="127"/>
      <c r="AI107" s="127"/>
      <c r="AJ107" s="127"/>
      <c r="AK107" s="127"/>
      <c r="AL107" s="127"/>
      <c r="AM107" s="127"/>
      <c r="AN107" s="127"/>
    </row>
    <row r="108" spans="6:40" ht="21"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127"/>
      <c r="AG108" s="127"/>
      <c r="AH108" s="127"/>
      <c r="AI108" s="127"/>
      <c r="AJ108" s="127"/>
      <c r="AK108" s="127"/>
      <c r="AL108" s="127"/>
      <c r="AM108" s="127"/>
      <c r="AN108" s="127"/>
    </row>
    <row r="109" spans="6:40" ht="21"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127"/>
      <c r="AG109" s="127"/>
      <c r="AH109" s="127"/>
      <c r="AI109" s="127"/>
      <c r="AJ109" s="127"/>
      <c r="AK109" s="127"/>
      <c r="AL109" s="127"/>
      <c r="AM109" s="127"/>
      <c r="AN109" s="127"/>
    </row>
    <row r="110" spans="6:40" ht="21"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127"/>
      <c r="AG110" s="127"/>
      <c r="AH110" s="127"/>
      <c r="AI110" s="127"/>
      <c r="AJ110" s="127"/>
      <c r="AK110" s="127"/>
      <c r="AL110" s="127"/>
      <c r="AM110" s="127"/>
      <c r="AN110" s="127"/>
    </row>
    <row r="111" spans="6:40" ht="21"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127"/>
      <c r="AG111" s="127"/>
      <c r="AH111" s="127"/>
      <c r="AI111" s="127"/>
      <c r="AJ111" s="127"/>
      <c r="AK111" s="127"/>
      <c r="AL111" s="127"/>
      <c r="AM111" s="127"/>
      <c r="AN111" s="127"/>
    </row>
    <row r="112" spans="6:40" ht="21"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127"/>
      <c r="AG112" s="127"/>
      <c r="AH112" s="127"/>
      <c r="AI112" s="127"/>
      <c r="AJ112" s="127"/>
      <c r="AK112" s="127"/>
      <c r="AL112" s="127"/>
      <c r="AM112" s="127"/>
      <c r="AN112" s="127"/>
    </row>
    <row r="113" spans="6:40" ht="21"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127"/>
      <c r="AG113" s="127"/>
      <c r="AH113" s="127"/>
      <c r="AI113" s="127"/>
      <c r="AJ113" s="127"/>
      <c r="AK113" s="127"/>
      <c r="AL113" s="127"/>
      <c r="AM113" s="127"/>
      <c r="AN113" s="127"/>
    </row>
    <row r="114" spans="6:40" ht="21"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127"/>
      <c r="AG114" s="127"/>
      <c r="AH114" s="127"/>
      <c r="AI114" s="127"/>
      <c r="AJ114" s="127"/>
      <c r="AK114" s="127"/>
      <c r="AL114" s="127"/>
      <c r="AM114" s="127"/>
      <c r="AN114" s="127"/>
    </row>
    <row r="115" spans="6:40" ht="21"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127"/>
      <c r="AG115" s="127"/>
      <c r="AH115" s="127"/>
      <c r="AI115" s="127"/>
      <c r="AJ115" s="127"/>
      <c r="AK115" s="127"/>
      <c r="AL115" s="127"/>
      <c r="AM115" s="127"/>
      <c r="AN115" s="127"/>
    </row>
    <row r="116" spans="6:40" ht="21"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127"/>
      <c r="AG116" s="127"/>
      <c r="AH116" s="127"/>
      <c r="AI116" s="127"/>
      <c r="AJ116" s="127"/>
      <c r="AK116" s="127"/>
      <c r="AL116" s="127"/>
      <c r="AM116" s="127"/>
      <c r="AN116" s="127"/>
    </row>
    <row r="117" spans="6:40" ht="21"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127"/>
      <c r="AG117" s="127"/>
      <c r="AH117" s="127"/>
      <c r="AI117" s="127"/>
      <c r="AJ117" s="127"/>
      <c r="AK117" s="127"/>
      <c r="AL117" s="127"/>
      <c r="AM117" s="127"/>
      <c r="AN117" s="127"/>
    </row>
    <row r="118" spans="6:40" ht="21"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127"/>
      <c r="AG118" s="127"/>
      <c r="AH118" s="127"/>
      <c r="AI118" s="127"/>
      <c r="AJ118" s="127"/>
      <c r="AK118" s="127"/>
      <c r="AL118" s="127"/>
      <c r="AM118" s="127"/>
      <c r="AN118" s="127"/>
    </row>
    <row r="119" spans="6:40" ht="21"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127"/>
      <c r="AG119" s="127"/>
      <c r="AH119" s="127"/>
      <c r="AI119" s="127"/>
      <c r="AJ119" s="127"/>
      <c r="AK119" s="127"/>
      <c r="AL119" s="127"/>
      <c r="AM119" s="127"/>
      <c r="AN119" s="127"/>
    </row>
    <row r="120" spans="6:40" ht="21"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127"/>
      <c r="AG120" s="127"/>
      <c r="AH120" s="127"/>
      <c r="AI120" s="127"/>
      <c r="AJ120" s="127"/>
      <c r="AK120" s="127"/>
      <c r="AL120" s="127"/>
      <c r="AM120" s="127"/>
      <c r="AN120" s="127"/>
    </row>
    <row r="121" spans="6:40" ht="21"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127"/>
      <c r="AG121" s="127"/>
      <c r="AH121" s="127"/>
      <c r="AI121" s="127"/>
      <c r="AJ121" s="127"/>
      <c r="AK121" s="127"/>
      <c r="AL121" s="127"/>
      <c r="AM121" s="127"/>
      <c r="AN121" s="127"/>
    </row>
    <row r="122" spans="6:40" ht="21"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127"/>
      <c r="AG122" s="127"/>
      <c r="AH122" s="127"/>
      <c r="AI122" s="127"/>
      <c r="AJ122" s="127"/>
      <c r="AK122" s="127"/>
      <c r="AL122" s="127"/>
      <c r="AM122" s="127"/>
      <c r="AN122" s="127"/>
    </row>
    <row r="123" spans="6:40" ht="21"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127"/>
      <c r="AG123" s="127"/>
      <c r="AH123" s="127"/>
      <c r="AI123" s="127"/>
      <c r="AJ123" s="127"/>
      <c r="AK123" s="127"/>
      <c r="AL123" s="127"/>
      <c r="AM123" s="127"/>
      <c r="AN123" s="127"/>
    </row>
    <row r="124" spans="6:40" ht="21"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127"/>
      <c r="AG124" s="127"/>
      <c r="AH124" s="127"/>
      <c r="AI124" s="127"/>
      <c r="AJ124" s="127"/>
      <c r="AK124" s="127"/>
      <c r="AL124" s="127"/>
      <c r="AM124" s="127"/>
      <c r="AN124" s="127"/>
    </row>
    <row r="125" spans="6:40" ht="21"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127"/>
      <c r="AG125" s="127"/>
      <c r="AH125" s="127"/>
      <c r="AI125" s="127"/>
      <c r="AJ125" s="127"/>
      <c r="AK125" s="127"/>
      <c r="AL125" s="127"/>
      <c r="AM125" s="127"/>
      <c r="AN125" s="127"/>
    </row>
    <row r="126" spans="6:40" ht="21"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127"/>
      <c r="AG126" s="127"/>
      <c r="AH126" s="127"/>
      <c r="AI126" s="127"/>
      <c r="AJ126" s="127"/>
      <c r="AK126" s="127"/>
      <c r="AL126" s="127"/>
      <c r="AM126" s="127"/>
      <c r="AN126" s="127"/>
    </row>
    <row r="127" spans="6:40" ht="21"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127"/>
      <c r="AG127" s="127"/>
      <c r="AH127" s="127"/>
      <c r="AI127" s="127"/>
      <c r="AJ127" s="127"/>
      <c r="AK127" s="127"/>
      <c r="AL127" s="127"/>
      <c r="AM127" s="127"/>
      <c r="AN127" s="127"/>
    </row>
    <row r="128" spans="6:40" ht="21"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127"/>
      <c r="AG128" s="127"/>
      <c r="AH128" s="127"/>
      <c r="AI128" s="127"/>
      <c r="AJ128" s="127"/>
      <c r="AK128" s="127"/>
      <c r="AL128" s="127"/>
      <c r="AM128" s="127"/>
      <c r="AN128" s="127"/>
    </row>
    <row r="129" spans="6:40" ht="21"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127"/>
      <c r="AG129" s="127"/>
      <c r="AH129" s="127"/>
      <c r="AI129" s="127"/>
      <c r="AJ129" s="127"/>
      <c r="AK129" s="127"/>
      <c r="AL129" s="127"/>
      <c r="AM129" s="127"/>
      <c r="AN129" s="127"/>
    </row>
    <row r="130" spans="6:40" ht="21"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127"/>
      <c r="AG130" s="127"/>
      <c r="AH130" s="127"/>
      <c r="AI130" s="127"/>
      <c r="AJ130" s="127"/>
      <c r="AK130" s="127"/>
      <c r="AL130" s="127"/>
      <c r="AM130" s="127"/>
      <c r="AN130" s="127"/>
    </row>
    <row r="131" spans="6:40" ht="21"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127"/>
      <c r="AG131" s="127"/>
      <c r="AH131" s="127"/>
      <c r="AI131" s="127"/>
      <c r="AJ131" s="127"/>
      <c r="AK131" s="127"/>
      <c r="AL131" s="127"/>
      <c r="AM131" s="127"/>
      <c r="AN131" s="127"/>
    </row>
    <row r="132" spans="6:40" ht="21"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127"/>
      <c r="AG132" s="127"/>
      <c r="AH132" s="127"/>
      <c r="AI132" s="127"/>
      <c r="AJ132" s="127"/>
      <c r="AK132" s="127"/>
      <c r="AL132" s="127"/>
      <c r="AM132" s="127"/>
      <c r="AN132" s="127"/>
    </row>
    <row r="133" spans="6:40" ht="21"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127"/>
      <c r="AG133" s="127"/>
      <c r="AH133" s="127"/>
      <c r="AI133" s="127"/>
      <c r="AJ133" s="127"/>
      <c r="AK133" s="127"/>
      <c r="AL133" s="127"/>
      <c r="AM133" s="127"/>
      <c r="AN133" s="127"/>
    </row>
    <row r="134" spans="6:40" ht="21"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127"/>
      <c r="AG134" s="127"/>
      <c r="AH134" s="127"/>
      <c r="AI134" s="127"/>
      <c r="AJ134" s="127"/>
      <c r="AK134" s="127"/>
      <c r="AL134" s="127"/>
      <c r="AM134" s="127"/>
      <c r="AN134" s="127"/>
    </row>
    <row r="135" spans="6:40" ht="21"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127"/>
      <c r="AG135" s="127"/>
      <c r="AH135" s="127"/>
      <c r="AI135" s="127"/>
      <c r="AJ135" s="127"/>
      <c r="AK135" s="127"/>
      <c r="AL135" s="127"/>
      <c r="AM135" s="127"/>
      <c r="AN135" s="127"/>
    </row>
    <row r="136" spans="6:40" ht="21"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127"/>
      <c r="AG136" s="127"/>
      <c r="AH136" s="127"/>
      <c r="AI136" s="127"/>
      <c r="AJ136" s="127"/>
      <c r="AK136" s="127"/>
      <c r="AL136" s="127"/>
      <c r="AM136" s="127"/>
      <c r="AN136" s="127"/>
    </row>
    <row r="137" spans="6:40" ht="21"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127"/>
      <c r="AG137" s="127"/>
      <c r="AH137" s="127"/>
      <c r="AI137" s="127"/>
      <c r="AJ137" s="127"/>
      <c r="AK137" s="127"/>
      <c r="AL137" s="127"/>
      <c r="AM137" s="127"/>
      <c r="AN137" s="127"/>
    </row>
    <row r="138" spans="6:40" ht="21"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127"/>
      <c r="AG138" s="127"/>
      <c r="AH138" s="127"/>
      <c r="AI138" s="127"/>
      <c r="AJ138" s="127"/>
      <c r="AK138" s="127"/>
      <c r="AL138" s="127"/>
      <c r="AM138" s="127"/>
      <c r="AN138" s="127"/>
    </row>
    <row r="139" spans="6:40" ht="21"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127"/>
      <c r="AG139" s="127"/>
      <c r="AH139" s="127"/>
      <c r="AI139" s="127"/>
      <c r="AJ139" s="127"/>
      <c r="AK139" s="127"/>
      <c r="AL139" s="127"/>
      <c r="AM139" s="127"/>
      <c r="AN139" s="127"/>
    </row>
    <row r="140" spans="6:40" ht="21"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127"/>
      <c r="AG140" s="127"/>
      <c r="AH140" s="127"/>
      <c r="AI140" s="127"/>
      <c r="AJ140" s="127"/>
      <c r="AK140" s="127"/>
      <c r="AL140" s="127"/>
      <c r="AM140" s="127"/>
      <c r="AN140" s="127"/>
    </row>
    <row r="141" spans="6:40" ht="21"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127"/>
      <c r="AG141" s="127"/>
      <c r="AH141" s="127"/>
      <c r="AI141" s="127"/>
      <c r="AJ141" s="127"/>
      <c r="AK141" s="127"/>
      <c r="AL141" s="127"/>
      <c r="AM141" s="127"/>
      <c r="AN141" s="127"/>
    </row>
    <row r="142" spans="6:40" ht="21"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127"/>
      <c r="AG142" s="127"/>
      <c r="AH142" s="127"/>
      <c r="AI142" s="127"/>
      <c r="AJ142" s="127"/>
      <c r="AK142" s="127"/>
      <c r="AL142" s="127"/>
      <c r="AM142" s="127"/>
      <c r="AN142" s="127"/>
    </row>
    <row r="143" spans="6:40" ht="21"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127"/>
      <c r="AG143" s="127"/>
      <c r="AH143" s="127"/>
      <c r="AI143" s="127"/>
      <c r="AJ143" s="127"/>
      <c r="AK143" s="127"/>
      <c r="AL143" s="127"/>
      <c r="AM143" s="127"/>
      <c r="AN143" s="127"/>
    </row>
    <row r="144" spans="6:40" ht="21"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127"/>
      <c r="AG144" s="127"/>
      <c r="AH144" s="127"/>
      <c r="AI144" s="127"/>
      <c r="AJ144" s="127"/>
      <c r="AK144" s="127"/>
      <c r="AL144" s="127"/>
      <c r="AM144" s="127"/>
      <c r="AN144" s="127"/>
    </row>
    <row r="145" spans="6:40" ht="21"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127"/>
      <c r="AG145" s="127"/>
      <c r="AH145" s="127"/>
      <c r="AI145" s="127"/>
      <c r="AJ145" s="127"/>
      <c r="AK145" s="127"/>
      <c r="AL145" s="127"/>
      <c r="AM145" s="127"/>
      <c r="AN145" s="127"/>
    </row>
    <row r="146" spans="6:40" ht="21"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127"/>
      <c r="AG146" s="127"/>
      <c r="AH146" s="127"/>
      <c r="AI146" s="127"/>
      <c r="AJ146" s="127"/>
      <c r="AK146" s="127"/>
      <c r="AL146" s="127"/>
      <c r="AM146" s="127"/>
      <c r="AN146" s="127"/>
    </row>
    <row r="147" spans="6:40" ht="21"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127"/>
      <c r="AG147" s="127"/>
      <c r="AH147" s="127"/>
      <c r="AI147" s="127"/>
      <c r="AJ147" s="127"/>
      <c r="AK147" s="127"/>
      <c r="AL147" s="127"/>
      <c r="AM147" s="127"/>
      <c r="AN147" s="127"/>
    </row>
    <row r="148" spans="6:40" ht="21"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127"/>
      <c r="AG148" s="127"/>
      <c r="AH148" s="127"/>
      <c r="AI148" s="127"/>
      <c r="AJ148" s="127"/>
      <c r="AK148" s="127"/>
      <c r="AL148" s="127"/>
      <c r="AM148" s="127"/>
      <c r="AN148" s="127"/>
    </row>
    <row r="149" spans="6:40" ht="21"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127"/>
      <c r="AG149" s="127"/>
      <c r="AH149" s="127"/>
      <c r="AI149" s="127"/>
      <c r="AJ149" s="127"/>
      <c r="AK149" s="127"/>
      <c r="AL149" s="127"/>
      <c r="AM149" s="127"/>
      <c r="AN149" s="127"/>
    </row>
    <row r="150" spans="6:40" ht="21"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127"/>
      <c r="AG150" s="127"/>
      <c r="AH150" s="127"/>
      <c r="AI150" s="127"/>
      <c r="AJ150" s="127"/>
      <c r="AK150" s="127"/>
      <c r="AL150" s="127"/>
      <c r="AM150" s="127"/>
      <c r="AN150" s="127"/>
    </row>
    <row r="151" spans="6:40" ht="21"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127"/>
      <c r="AG151" s="127"/>
      <c r="AH151" s="127"/>
      <c r="AI151" s="127"/>
      <c r="AJ151" s="127"/>
      <c r="AK151" s="127"/>
      <c r="AL151" s="127"/>
      <c r="AM151" s="127"/>
      <c r="AN151" s="127"/>
    </row>
    <row r="152" spans="6:40" ht="21"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127"/>
      <c r="AG152" s="127"/>
      <c r="AH152" s="127"/>
      <c r="AI152" s="127"/>
      <c r="AJ152" s="127"/>
      <c r="AK152" s="127"/>
      <c r="AL152" s="127"/>
      <c r="AM152" s="127"/>
      <c r="AN152" s="127"/>
    </row>
    <row r="153" spans="6:40" ht="21"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127"/>
      <c r="AG153" s="127"/>
      <c r="AH153" s="127"/>
      <c r="AI153" s="127"/>
      <c r="AJ153" s="127"/>
      <c r="AK153" s="127"/>
      <c r="AL153" s="127"/>
      <c r="AM153" s="127"/>
      <c r="AN153" s="127"/>
    </row>
    <row r="154" spans="6:40" ht="21"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127"/>
      <c r="AG154" s="127"/>
      <c r="AH154" s="127"/>
      <c r="AI154" s="127"/>
      <c r="AJ154" s="127"/>
      <c r="AK154" s="127"/>
      <c r="AL154" s="127"/>
      <c r="AM154" s="127"/>
      <c r="AN154" s="127"/>
    </row>
    <row r="155" spans="6:40" ht="21"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127"/>
      <c r="AG155" s="127"/>
      <c r="AH155" s="127"/>
      <c r="AI155" s="127"/>
      <c r="AJ155" s="127"/>
      <c r="AK155" s="127"/>
      <c r="AL155" s="127"/>
      <c r="AM155" s="127"/>
      <c r="AN155" s="127"/>
    </row>
    <row r="156" spans="6:40" ht="21"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127"/>
      <c r="AG156" s="127"/>
      <c r="AH156" s="127"/>
      <c r="AI156" s="127"/>
      <c r="AJ156" s="127"/>
      <c r="AK156" s="127"/>
      <c r="AL156" s="127"/>
      <c r="AM156" s="127"/>
      <c r="AN156" s="127"/>
    </row>
    <row r="157" spans="6:40" ht="21"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127"/>
      <c r="AG157" s="127"/>
      <c r="AH157" s="127"/>
      <c r="AI157" s="127"/>
      <c r="AJ157" s="127"/>
      <c r="AK157" s="127"/>
      <c r="AL157" s="127"/>
      <c r="AM157" s="127"/>
      <c r="AN157" s="127"/>
    </row>
    <row r="158" spans="6:40" ht="21"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127"/>
      <c r="AG158" s="127"/>
      <c r="AH158" s="127"/>
      <c r="AI158" s="127"/>
      <c r="AJ158" s="127"/>
      <c r="AK158" s="127"/>
      <c r="AL158" s="127"/>
      <c r="AM158" s="127"/>
      <c r="AN158" s="127"/>
    </row>
    <row r="159" spans="6:40" ht="21"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127"/>
      <c r="AG159" s="127"/>
      <c r="AH159" s="127"/>
      <c r="AI159" s="127"/>
      <c r="AJ159" s="127"/>
      <c r="AK159" s="127"/>
      <c r="AL159" s="127"/>
      <c r="AM159" s="127"/>
      <c r="AN159" s="127"/>
    </row>
    <row r="160" spans="6:40" ht="21"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127"/>
      <c r="AG160" s="127"/>
      <c r="AH160" s="127"/>
      <c r="AI160" s="127"/>
      <c r="AJ160" s="127"/>
      <c r="AK160" s="127"/>
      <c r="AL160" s="127"/>
      <c r="AM160" s="127"/>
      <c r="AN160" s="127"/>
    </row>
    <row r="161" spans="6:40" ht="21"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127"/>
      <c r="AG161" s="127"/>
      <c r="AH161" s="127"/>
      <c r="AI161" s="127"/>
      <c r="AJ161" s="127"/>
      <c r="AK161" s="127"/>
      <c r="AL161" s="127"/>
      <c r="AM161" s="127"/>
      <c r="AN161" s="127"/>
    </row>
    <row r="162" spans="6:40" ht="21"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127"/>
      <c r="AG162" s="127"/>
      <c r="AH162" s="127"/>
      <c r="AI162" s="127"/>
      <c r="AJ162" s="127"/>
      <c r="AK162" s="127"/>
      <c r="AL162" s="127"/>
      <c r="AM162" s="127"/>
      <c r="AN162" s="127"/>
    </row>
    <row r="163" spans="6:40" ht="21"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127"/>
      <c r="AG163" s="127"/>
      <c r="AH163" s="127"/>
      <c r="AI163" s="127"/>
      <c r="AJ163" s="127"/>
      <c r="AK163" s="127"/>
      <c r="AL163" s="127"/>
      <c r="AM163" s="127"/>
      <c r="AN163" s="127"/>
    </row>
    <row r="164" spans="6:40" ht="21"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127"/>
      <c r="AG164" s="127"/>
      <c r="AH164" s="127"/>
      <c r="AI164" s="127"/>
      <c r="AJ164" s="127"/>
      <c r="AK164" s="127"/>
      <c r="AL164" s="127"/>
      <c r="AM164" s="127"/>
      <c r="AN164" s="127"/>
    </row>
    <row r="165" spans="6:40" ht="21"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127"/>
      <c r="AG165" s="127"/>
      <c r="AH165" s="127"/>
      <c r="AI165" s="127"/>
      <c r="AJ165" s="127"/>
      <c r="AK165" s="127"/>
      <c r="AL165" s="127"/>
      <c r="AM165" s="127"/>
      <c r="AN165" s="127"/>
    </row>
    <row r="166" spans="6:40" ht="21"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127"/>
      <c r="AG166" s="127"/>
      <c r="AH166" s="127"/>
      <c r="AI166" s="127"/>
      <c r="AJ166" s="127"/>
      <c r="AK166" s="127"/>
      <c r="AL166" s="127"/>
      <c r="AM166" s="127"/>
      <c r="AN166" s="127"/>
    </row>
    <row r="167" spans="6:40" ht="21"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127"/>
      <c r="AG167" s="127"/>
      <c r="AH167" s="127"/>
      <c r="AI167" s="127"/>
      <c r="AJ167" s="127"/>
      <c r="AK167" s="127"/>
      <c r="AL167" s="127"/>
      <c r="AM167" s="127"/>
      <c r="AN167" s="127"/>
    </row>
    <row r="168" spans="6:40" ht="21"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127"/>
      <c r="AG168" s="127"/>
      <c r="AH168" s="127"/>
      <c r="AI168" s="127"/>
      <c r="AJ168" s="127"/>
      <c r="AK168" s="127"/>
      <c r="AL168" s="127"/>
      <c r="AM168" s="127"/>
      <c r="AN168" s="127"/>
    </row>
    <row r="169" spans="6:40" ht="21"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127"/>
      <c r="AG169" s="127"/>
      <c r="AH169" s="127"/>
      <c r="AI169" s="127"/>
      <c r="AJ169" s="127"/>
      <c r="AK169" s="127"/>
      <c r="AL169" s="127"/>
      <c r="AM169" s="127"/>
      <c r="AN169" s="127"/>
    </row>
    <row r="170" spans="6:40" ht="21"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127"/>
      <c r="AG170" s="127"/>
      <c r="AH170" s="127"/>
      <c r="AI170" s="127"/>
      <c r="AJ170" s="127"/>
      <c r="AK170" s="127"/>
      <c r="AL170" s="127"/>
      <c r="AM170" s="127"/>
      <c r="AN170" s="127"/>
    </row>
    <row r="171" spans="6:40" ht="21"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127"/>
      <c r="AG171" s="127"/>
      <c r="AH171" s="127"/>
      <c r="AI171" s="127"/>
      <c r="AJ171" s="127"/>
      <c r="AK171" s="127"/>
      <c r="AL171" s="127"/>
      <c r="AM171" s="127"/>
      <c r="AN171" s="127"/>
    </row>
    <row r="172" spans="6:40" ht="21"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127"/>
      <c r="AG172" s="127"/>
      <c r="AH172" s="127"/>
      <c r="AI172" s="127"/>
      <c r="AJ172" s="127"/>
      <c r="AK172" s="127"/>
      <c r="AL172" s="127"/>
      <c r="AM172" s="127"/>
      <c r="AN172" s="127"/>
    </row>
    <row r="173" spans="6:40" ht="21"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127"/>
      <c r="AG173" s="127"/>
      <c r="AH173" s="127"/>
      <c r="AI173" s="127"/>
      <c r="AJ173" s="127"/>
      <c r="AK173" s="127"/>
      <c r="AL173" s="127"/>
      <c r="AM173" s="127"/>
      <c r="AN173" s="127"/>
    </row>
    <row r="174" spans="6:40" ht="21"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127"/>
      <c r="AG174" s="127"/>
      <c r="AH174" s="127"/>
      <c r="AI174" s="127"/>
      <c r="AJ174" s="127"/>
      <c r="AK174" s="127"/>
      <c r="AL174" s="127"/>
      <c r="AM174" s="127"/>
      <c r="AN174" s="127"/>
    </row>
    <row r="175" spans="6:40" ht="21"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127"/>
      <c r="AG175" s="127"/>
      <c r="AH175" s="127"/>
      <c r="AI175" s="127"/>
      <c r="AJ175" s="127"/>
      <c r="AK175" s="127"/>
      <c r="AL175" s="127"/>
      <c r="AM175" s="127"/>
      <c r="AN175" s="127"/>
    </row>
    <row r="176" spans="6:40" ht="21"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127"/>
      <c r="AG176" s="127"/>
      <c r="AH176" s="127"/>
      <c r="AI176" s="127"/>
      <c r="AJ176" s="127"/>
      <c r="AK176" s="127"/>
      <c r="AL176" s="127"/>
      <c r="AM176" s="127"/>
      <c r="AN176" s="127"/>
    </row>
    <row r="177" spans="6:40" ht="21"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127"/>
      <c r="AG177" s="127"/>
      <c r="AH177" s="127"/>
      <c r="AI177" s="127"/>
      <c r="AJ177" s="127"/>
      <c r="AK177" s="127"/>
      <c r="AL177" s="127"/>
      <c r="AM177" s="127"/>
      <c r="AN177" s="127"/>
    </row>
    <row r="178" spans="6:40" ht="21"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127"/>
      <c r="AG178" s="127"/>
      <c r="AH178" s="127"/>
      <c r="AI178" s="127"/>
      <c r="AJ178" s="127"/>
      <c r="AK178" s="127"/>
      <c r="AL178" s="127"/>
      <c r="AM178" s="127"/>
      <c r="AN178" s="127"/>
    </row>
    <row r="179" spans="6:40" ht="21"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127"/>
      <c r="AG179" s="127"/>
      <c r="AH179" s="127"/>
      <c r="AI179" s="127"/>
      <c r="AJ179" s="127"/>
      <c r="AK179" s="127"/>
      <c r="AL179" s="127"/>
      <c r="AM179" s="127"/>
      <c r="AN179" s="127"/>
    </row>
    <row r="180" spans="6:40" ht="21"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127"/>
      <c r="AG180" s="127"/>
      <c r="AH180" s="127"/>
      <c r="AI180" s="127"/>
      <c r="AJ180" s="127"/>
      <c r="AK180" s="127"/>
      <c r="AL180" s="127"/>
      <c r="AM180" s="127"/>
      <c r="AN180" s="127"/>
    </row>
    <row r="181" spans="6:40" ht="21"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127"/>
      <c r="AG181" s="127"/>
      <c r="AH181" s="127"/>
      <c r="AI181" s="127"/>
      <c r="AJ181" s="127"/>
      <c r="AK181" s="127"/>
      <c r="AL181" s="127"/>
      <c r="AM181" s="127"/>
      <c r="AN181" s="127"/>
    </row>
    <row r="182" spans="6:40" ht="21"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127"/>
      <c r="AG182" s="127"/>
      <c r="AH182" s="127"/>
      <c r="AI182" s="127"/>
      <c r="AJ182" s="127"/>
      <c r="AK182" s="127"/>
      <c r="AL182" s="127"/>
      <c r="AM182" s="127"/>
      <c r="AN182" s="127"/>
    </row>
    <row r="183" spans="6:40" ht="21"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127"/>
      <c r="AG183" s="127"/>
      <c r="AH183" s="127"/>
      <c r="AI183" s="127"/>
      <c r="AJ183" s="127"/>
      <c r="AK183" s="127"/>
      <c r="AL183" s="127"/>
      <c r="AM183" s="127"/>
      <c r="AN183" s="127"/>
    </row>
    <row r="184" spans="6:40" ht="21"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127"/>
      <c r="AG184" s="127"/>
      <c r="AH184" s="127"/>
      <c r="AI184" s="127"/>
      <c r="AJ184" s="127"/>
      <c r="AK184" s="127"/>
      <c r="AL184" s="127"/>
      <c r="AM184" s="127"/>
      <c r="AN184" s="127"/>
    </row>
    <row r="185" spans="6:40" ht="21"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127"/>
      <c r="AG185" s="127"/>
      <c r="AH185" s="127"/>
      <c r="AI185" s="127"/>
      <c r="AJ185" s="127"/>
      <c r="AK185" s="127"/>
      <c r="AL185" s="127"/>
      <c r="AM185" s="127"/>
      <c r="AN185" s="127"/>
    </row>
    <row r="186" spans="6:40" ht="21"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127"/>
      <c r="AG186" s="127"/>
      <c r="AH186" s="127"/>
      <c r="AI186" s="127"/>
      <c r="AJ186" s="127"/>
      <c r="AK186" s="127"/>
      <c r="AL186" s="127"/>
      <c r="AM186" s="127"/>
      <c r="AN186" s="127"/>
    </row>
    <row r="187" spans="6:40" ht="21"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127"/>
      <c r="AG187" s="127"/>
      <c r="AH187" s="127"/>
      <c r="AI187" s="127"/>
      <c r="AJ187" s="127"/>
      <c r="AK187" s="127"/>
      <c r="AL187" s="127"/>
      <c r="AM187" s="127"/>
      <c r="AN187" s="127"/>
    </row>
    <row r="188" spans="6:40" ht="21"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127"/>
      <c r="AG188" s="127"/>
      <c r="AH188" s="127"/>
      <c r="AI188" s="127"/>
      <c r="AJ188" s="127"/>
      <c r="AK188" s="127"/>
      <c r="AL188" s="127"/>
      <c r="AM188" s="127"/>
      <c r="AN188" s="127"/>
    </row>
    <row r="189" spans="6:40" ht="21"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127"/>
      <c r="AG189" s="127"/>
      <c r="AH189" s="127"/>
      <c r="AI189" s="127"/>
      <c r="AJ189" s="127"/>
      <c r="AK189" s="127"/>
      <c r="AL189" s="127"/>
      <c r="AM189" s="127"/>
      <c r="AN189" s="127"/>
    </row>
    <row r="190" spans="6:40" ht="21"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127"/>
      <c r="AG190" s="127"/>
      <c r="AH190" s="127"/>
      <c r="AI190" s="127"/>
      <c r="AJ190" s="127"/>
      <c r="AK190" s="127"/>
      <c r="AL190" s="127"/>
      <c r="AM190" s="127"/>
      <c r="AN190" s="127"/>
    </row>
    <row r="191" spans="6:40" ht="21"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127"/>
      <c r="AG191" s="127"/>
      <c r="AH191" s="127"/>
      <c r="AI191" s="127"/>
      <c r="AJ191" s="127"/>
      <c r="AK191" s="127"/>
      <c r="AL191" s="127"/>
      <c r="AM191" s="127"/>
      <c r="AN191" s="127"/>
    </row>
    <row r="192" spans="6:40" ht="21"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127"/>
      <c r="AG192" s="127"/>
      <c r="AH192" s="127"/>
      <c r="AI192" s="127"/>
      <c r="AJ192" s="127"/>
      <c r="AK192" s="127"/>
      <c r="AL192" s="127"/>
      <c r="AM192" s="127"/>
      <c r="AN192" s="127"/>
    </row>
    <row r="193" spans="6:40" ht="21"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127"/>
      <c r="AG193" s="127"/>
      <c r="AH193" s="127"/>
      <c r="AI193" s="127"/>
      <c r="AJ193" s="127"/>
      <c r="AK193" s="127"/>
      <c r="AL193" s="127"/>
      <c r="AM193" s="127"/>
      <c r="AN193" s="127"/>
    </row>
    <row r="194" spans="6:40" ht="21"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127"/>
      <c r="AG194" s="127"/>
      <c r="AH194" s="127"/>
      <c r="AI194" s="127"/>
      <c r="AJ194" s="127"/>
      <c r="AK194" s="127"/>
      <c r="AL194" s="127"/>
      <c r="AM194" s="127"/>
      <c r="AN194" s="127"/>
    </row>
    <row r="195" spans="6:40" ht="21"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127"/>
      <c r="AG195" s="127"/>
      <c r="AH195" s="127"/>
      <c r="AI195" s="127"/>
      <c r="AJ195" s="127"/>
      <c r="AK195" s="127"/>
      <c r="AL195" s="127"/>
      <c r="AM195" s="127"/>
      <c r="AN195" s="127"/>
    </row>
    <row r="196" spans="6:40" ht="21"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127"/>
      <c r="AG196" s="127"/>
      <c r="AH196" s="127"/>
      <c r="AI196" s="127"/>
      <c r="AJ196" s="127"/>
      <c r="AK196" s="127"/>
      <c r="AL196" s="127"/>
      <c r="AM196" s="127"/>
      <c r="AN196" s="127"/>
    </row>
    <row r="197" spans="6:40" ht="21"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127"/>
      <c r="AG197" s="127"/>
      <c r="AH197" s="127"/>
      <c r="AI197" s="127"/>
      <c r="AJ197" s="127"/>
      <c r="AK197" s="127"/>
      <c r="AL197" s="127"/>
      <c r="AM197" s="127"/>
      <c r="AN197" s="127"/>
    </row>
    <row r="198" spans="6:40" ht="21"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127"/>
      <c r="AG198" s="127"/>
      <c r="AH198" s="127"/>
      <c r="AI198" s="127"/>
      <c r="AJ198" s="127"/>
      <c r="AK198" s="127"/>
      <c r="AL198" s="127"/>
      <c r="AM198" s="127"/>
      <c r="AN198" s="127"/>
    </row>
    <row r="199" spans="6:40" ht="21"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127"/>
      <c r="AG199" s="127"/>
      <c r="AH199" s="127"/>
      <c r="AI199" s="127"/>
      <c r="AJ199" s="127"/>
      <c r="AK199" s="127"/>
      <c r="AL199" s="127"/>
      <c r="AM199" s="127"/>
      <c r="AN199" s="127"/>
    </row>
    <row r="200" spans="6:40" ht="21"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127"/>
      <c r="AG200" s="127"/>
      <c r="AH200" s="127"/>
      <c r="AI200" s="127"/>
      <c r="AJ200" s="127"/>
      <c r="AK200" s="127"/>
      <c r="AL200" s="127"/>
      <c r="AM200" s="127"/>
      <c r="AN200" s="127"/>
    </row>
    <row r="201" spans="6:40" ht="21"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127"/>
      <c r="AG201" s="127"/>
      <c r="AH201" s="127"/>
      <c r="AI201" s="127"/>
      <c r="AJ201" s="127"/>
      <c r="AK201" s="127"/>
      <c r="AL201" s="127"/>
      <c r="AM201" s="127"/>
      <c r="AN201" s="127"/>
    </row>
    <row r="202" spans="6:40" ht="21"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127"/>
      <c r="AG202" s="127"/>
      <c r="AH202" s="127"/>
      <c r="AI202" s="127"/>
      <c r="AJ202" s="127"/>
      <c r="AK202" s="127"/>
      <c r="AL202" s="127"/>
      <c r="AM202" s="127"/>
      <c r="AN202" s="127"/>
    </row>
    <row r="203" spans="6:40" ht="21"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127"/>
      <c r="AG203" s="127"/>
      <c r="AH203" s="127"/>
      <c r="AI203" s="127"/>
      <c r="AJ203" s="127"/>
      <c r="AK203" s="127"/>
      <c r="AL203" s="127"/>
      <c r="AM203" s="127"/>
      <c r="AN203" s="127"/>
    </row>
    <row r="204" spans="6:40" ht="21"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127"/>
      <c r="AG204" s="127"/>
      <c r="AH204" s="127"/>
      <c r="AI204" s="127"/>
      <c r="AJ204" s="127"/>
      <c r="AK204" s="127"/>
      <c r="AL204" s="127"/>
      <c r="AM204" s="127"/>
      <c r="AN204" s="127"/>
    </row>
    <row r="205" spans="6:40" ht="21"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127"/>
      <c r="AG205" s="127"/>
      <c r="AH205" s="127"/>
      <c r="AI205" s="127"/>
      <c r="AJ205" s="127"/>
      <c r="AK205" s="127"/>
      <c r="AL205" s="127"/>
      <c r="AM205" s="127"/>
      <c r="AN205" s="127"/>
    </row>
    <row r="206" spans="6:40" ht="21"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127"/>
      <c r="AG206" s="127"/>
      <c r="AH206" s="127"/>
      <c r="AI206" s="127"/>
      <c r="AJ206" s="127"/>
      <c r="AK206" s="127"/>
      <c r="AL206" s="127"/>
      <c r="AM206" s="127"/>
      <c r="AN206" s="127"/>
    </row>
    <row r="207" spans="6:40" ht="21"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127"/>
      <c r="AG207" s="127"/>
      <c r="AH207" s="127"/>
      <c r="AI207" s="127"/>
      <c r="AJ207" s="127"/>
      <c r="AK207" s="127"/>
      <c r="AL207" s="127"/>
      <c r="AM207" s="127"/>
      <c r="AN207" s="127"/>
    </row>
    <row r="208" spans="6:40" ht="21"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127"/>
      <c r="AG208" s="127"/>
      <c r="AH208" s="127"/>
      <c r="AI208" s="127"/>
      <c r="AJ208" s="127"/>
      <c r="AK208" s="127"/>
      <c r="AL208" s="127"/>
      <c r="AM208" s="127"/>
      <c r="AN208" s="127"/>
    </row>
    <row r="209" ht="21"/>
    <row r="210" ht="21"/>
    <row r="211" ht="21"/>
    <row r="212" ht="21"/>
    <row r="213" ht="21"/>
    <row r="214" ht="21"/>
    <row r="215" ht="21"/>
    <row r="216" ht="21"/>
    <row r="217" ht="21"/>
    <row r="218" ht="21"/>
    <row r="219" ht="21"/>
    <row r="220" ht="21"/>
    <row r="221" ht="21"/>
    <row r="222" ht="21"/>
    <row r="223" ht="21"/>
    <row r="224" ht="21"/>
    <row r="225" ht="21"/>
    <row r="226" ht="21"/>
    <row r="227" ht="21"/>
    <row r="228" ht="21"/>
    <row r="229" ht="21"/>
    <row r="230" ht="21"/>
    <row r="231" ht="21"/>
    <row r="232" ht="21"/>
    <row r="233" ht="21"/>
    <row r="234" ht="21"/>
    <row r="235" ht="21"/>
    <row r="236" ht="21"/>
    <row r="237" ht="21"/>
    <row r="238" ht="21"/>
    <row r="239" ht="21"/>
    <row r="240" ht="21"/>
    <row r="241" ht="21"/>
    <row r="242" ht="21"/>
    <row r="243" ht="21"/>
    <row r="244" ht="21"/>
    <row r="245" ht="21"/>
    <row r="246" ht="21"/>
    <row r="247" ht="21"/>
    <row r="248" ht="21"/>
    <row r="249" ht="21"/>
    <row r="250" ht="21"/>
    <row r="251" ht="21"/>
    <row r="252" ht="21"/>
    <row r="253" ht="21"/>
    <row r="254" ht="21"/>
    <row r="255" ht="21"/>
    <row r="256" ht="21"/>
    <row r="257" ht="21"/>
    <row r="258" ht="21"/>
    <row r="259" ht="21"/>
    <row r="260" ht="21"/>
    <row r="261" ht="21"/>
    <row r="262" ht="21"/>
    <row r="263" ht="21"/>
    <row r="264" ht="21"/>
    <row r="265" ht="21"/>
    <row r="266" ht="21"/>
    <row r="267" ht="21"/>
    <row r="268" ht="21"/>
    <row r="269" ht="21"/>
    <row r="270" ht="21"/>
    <row r="271" ht="21"/>
    <row r="272" ht="21"/>
    <row r="273" ht="21"/>
    <row r="274" ht="21"/>
    <row r="275" ht="21"/>
    <row r="276" ht="21"/>
    <row r="277" ht="21"/>
    <row r="278" ht="21"/>
    <row r="279" ht="21"/>
    <row r="280" ht="21"/>
    <row r="281" ht="21"/>
    <row r="282" ht="21"/>
    <row r="283" ht="21"/>
    <row r="284" ht="21"/>
    <row r="285" ht="21"/>
    <row r="286" ht="21"/>
    <row r="287" ht="21"/>
    <row r="288" ht="21"/>
    <row r="289" ht="21"/>
    <row r="290" ht="21"/>
    <row r="291" ht="21"/>
    <row r="292" ht="21"/>
    <row r="293" ht="21"/>
    <row r="294" ht="21"/>
    <row r="295" ht="21"/>
    <row r="296" ht="21"/>
    <row r="297" ht="21"/>
    <row r="298" ht="21"/>
    <row r="299" ht="21"/>
    <row r="300" ht="21"/>
    <row r="301" ht="21"/>
    <row r="302" ht="21"/>
    <row r="303" ht="21"/>
    <row r="304" ht="21"/>
    <row r="305" ht="21"/>
    <row r="306" ht="21"/>
    <row r="307" ht="21"/>
    <row r="308" ht="21"/>
    <row r="309" ht="21"/>
    <row r="310" ht="21"/>
    <row r="311" ht="21"/>
    <row r="312" ht="21"/>
    <row r="313" ht="21"/>
    <row r="314" ht="21"/>
    <row r="315" ht="21"/>
    <row r="316" ht="21"/>
    <row r="317" ht="21"/>
    <row r="318" ht="21"/>
    <row r="319" ht="21"/>
    <row r="320" ht="21"/>
    <row r="321" ht="21"/>
    <row r="322" ht="21"/>
    <row r="323" ht="21"/>
    <row r="324" ht="21"/>
    <row r="325" ht="21"/>
    <row r="326" ht="21"/>
    <row r="327" ht="21"/>
    <row r="328" ht="21"/>
    <row r="329" ht="21"/>
    <row r="330" ht="21"/>
    <row r="331" ht="21"/>
    <row r="332" ht="21"/>
    <row r="333" ht="21"/>
    <row r="334" ht="21"/>
    <row r="335" ht="21"/>
    <row r="336" ht="21"/>
    <row r="337" ht="21"/>
    <row r="338" ht="21"/>
    <row r="339" ht="21"/>
    <row r="340" ht="21"/>
    <row r="341" ht="21"/>
    <row r="342" ht="21"/>
    <row r="343" ht="21"/>
    <row r="344" ht="21"/>
    <row r="345" ht="21"/>
    <row r="346" ht="21"/>
    <row r="347" ht="21"/>
    <row r="348" ht="21"/>
    <row r="349" ht="21"/>
    <row r="350" ht="21"/>
    <row r="351" ht="21"/>
    <row r="352" ht="21"/>
    <row r="353" ht="21"/>
    <row r="354" ht="21"/>
    <row r="355" ht="21"/>
    <row r="356" ht="21"/>
    <row r="357" ht="21"/>
    <row r="358" ht="21"/>
    <row r="359" ht="21"/>
    <row r="360" ht="21"/>
    <row r="361" ht="21"/>
    <row r="362" ht="21"/>
    <row r="363" ht="21"/>
    <row r="364" ht="21"/>
    <row r="365" ht="21"/>
    <row r="366" ht="21"/>
    <row r="367" ht="21"/>
    <row r="368" ht="21"/>
    <row r="369" ht="21"/>
    <row r="370" ht="21"/>
    <row r="371" ht="21"/>
    <row r="372" ht="21"/>
    <row r="373" ht="21"/>
    <row r="374" ht="21"/>
    <row r="375" ht="21"/>
    <row r="376" ht="21"/>
    <row r="377" ht="21"/>
    <row r="378" ht="21"/>
    <row r="379" ht="21"/>
    <row r="380" ht="21"/>
    <row r="381" ht="21"/>
    <row r="382" ht="21"/>
    <row r="383" ht="21"/>
    <row r="384" ht="21"/>
    <row r="385" ht="21"/>
    <row r="386" ht="21"/>
    <row r="387" ht="21"/>
    <row r="388" ht="21"/>
    <row r="389" ht="21"/>
    <row r="390" ht="21"/>
    <row r="391" ht="21"/>
    <row r="392" ht="21"/>
    <row r="393" ht="21"/>
    <row r="394" ht="21"/>
    <row r="395" ht="21"/>
    <row r="396" ht="21"/>
    <row r="397" ht="21"/>
    <row r="398" ht="21"/>
    <row r="399" ht="21"/>
    <row r="400" ht="21"/>
    <row r="401" ht="21"/>
    <row r="402" ht="21"/>
    <row r="403" ht="21"/>
    <row r="404" ht="21"/>
    <row r="405" ht="21"/>
    <row r="406" ht="21"/>
    <row r="407" ht="21"/>
    <row r="408" ht="21"/>
    <row r="409" ht="21"/>
    <row r="410" ht="21"/>
    <row r="411" ht="21"/>
    <row r="412" ht="21"/>
    <row r="413" ht="21"/>
    <row r="414" ht="21"/>
    <row r="415" ht="21"/>
    <row r="416" ht="21"/>
    <row r="417" ht="21"/>
    <row r="418" ht="21"/>
    <row r="419" ht="21"/>
    <row r="420" ht="21"/>
    <row r="421" ht="21"/>
    <row r="422" ht="21"/>
    <row r="423" ht="21"/>
    <row r="424" ht="21"/>
    <row r="425" ht="21"/>
    <row r="426" ht="21"/>
    <row r="427" ht="21"/>
    <row r="428" ht="21"/>
    <row r="429" ht="21"/>
    <row r="430" ht="21"/>
    <row r="431" ht="21"/>
    <row r="432" ht="21"/>
    <row r="433" ht="21"/>
    <row r="434" ht="21"/>
    <row r="435" ht="21"/>
    <row r="436" ht="21"/>
    <row r="437" ht="21"/>
    <row r="438" ht="21"/>
    <row r="439" ht="21"/>
    <row r="440" ht="21"/>
    <row r="441" ht="21"/>
    <row r="442" ht="21"/>
    <row r="443" ht="21"/>
    <row r="444" ht="21"/>
    <row r="445" ht="21"/>
    <row r="446" ht="21"/>
    <row r="447" ht="21"/>
    <row r="448" ht="21"/>
    <row r="449" ht="21"/>
    <row r="450" ht="21"/>
    <row r="451" ht="21"/>
    <row r="452" ht="21"/>
    <row r="453" ht="21"/>
    <row r="454" ht="21"/>
    <row r="455" ht="21"/>
    <row r="456" ht="21"/>
    <row r="457" ht="21"/>
    <row r="458" ht="21"/>
    <row r="459" ht="21"/>
    <row r="460" ht="21"/>
    <row r="461" ht="21"/>
    <row r="462" ht="21"/>
    <row r="463" ht="21"/>
    <row r="464" ht="21"/>
    <row r="465" ht="21"/>
    <row r="466" ht="21"/>
    <row r="467" ht="21"/>
    <row r="468" ht="21"/>
    <row r="469" ht="21"/>
    <row r="470" ht="21"/>
    <row r="471" ht="21"/>
    <row r="472" ht="21"/>
    <row r="473" ht="21"/>
    <row r="474" ht="21"/>
    <row r="475" ht="21"/>
    <row r="476" ht="21"/>
    <row r="477" ht="21"/>
    <row r="478" ht="21"/>
    <row r="479" ht="21"/>
    <row r="480" ht="21"/>
    <row r="481" ht="21"/>
    <row r="482" ht="21"/>
    <row r="483" ht="21"/>
    <row r="484" ht="21"/>
    <row r="485" ht="21"/>
    <row r="486" ht="21"/>
    <row r="487" ht="21"/>
    <row r="488" ht="21"/>
    <row r="489" ht="21"/>
    <row r="490" ht="21"/>
    <row r="491" ht="21"/>
    <row r="492" ht="21"/>
    <row r="493" ht="21"/>
    <row r="494" ht="21"/>
    <row r="495" ht="21"/>
    <row r="496" ht="21"/>
    <row r="497" ht="21"/>
    <row r="498" ht="21"/>
    <row r="499" ht="21"/>
    <row r="500" ht="21"/>
    <row r="501" ht="21"/>
    <row r="502" ht="21"/>
    <row r="503" ht="21"/>
    <row r="504" ht="21"/>
    <row r="505" ht="21"/>
    <row r="506" ht="21"/>
    <row r="507" ht="21"/>
    <row r="508" ht="21"/>
    <row r="509" ht="21"/>
    <row r="510" ht="21"/>
    <row r="511" ht="21"/>
    <row r="512" ht="21"/>
    <row r="513" ht="21"/>
    <row r="514" ht="21"/>
    <row r="515" ht="21"/>
    <row r="516" ht="21"/>
    <row r="517" ht="21"/>
    <row r="518" ht="21"/>
    <row r="519" ht="21"/>
    <row r="520" ht="21"/>
    <row r="521" ht="21"/>
    <row r="522" ht="21"/>
    <row r="523" ht="21"/>
    <row r="524" ht="21"/>
    <row r="525" ht="21"/>
    <row r="526" ht="21"/>
    <row r="527" ht="21"/>
    <row r="528" ht="21"/>
    <row r="529" ht="21"/>
    <row r="530" ht="21"/>
    <row r="531" ht="21"/>
    <row r="532" ht="21"/>
    <row r="533" ht="21"/>
    <row r="534" ht="21"/>
    <row r="535" ht="21"/>
    <row r="536" ht="21"/>
    <row r="537" ht="21"/>
    <row r="538" ht="21"/>
    <row r="539" ht="21"/>
    <row r="540" ht="21"/>
    <row r="541" ht="21"/>
    <row r="542" ht="21"/>
    <row r="543" ht="21"/>
    <row r="544" ht="21"/>
    <row r="545" ht="21"/>
    <row r="546" ht="21"/>
    <row r="547" ht="21"/>
    <row r="548" ht="21"/>
    <row r="549" ht="21"/>
    <row r="550" ht="21"/>
    <row r="551" ht="21"/>
    <row r="552" ht="21"/>
    <row r="553" ht="21"/>
    <row r="554" ht="21"/>
    <row r="555" ht="21"/>
    <row r="556" ht="21"/>
    <row r="557" ht="21"/>
    <row r="558" ht="21"/>
    <row r="559" ht="21"/>
    <row r="560" ht="21"/>
    <row r="561" ht="21"/>
    <row r="562" ht="21"/>
    <row r="563" ht="21"/>
    <row r="564" ht="21"/>
    <row r="565" ht="21"/>
    <row r="566" ht="21"/>
    <row r="567" ht="21"/>
    <row r="568" ht="21"/>
    <row r="569" ht="21"/>
    <row r="570" ht="21"/>
    <row r="571" ht="21"/>
    <row r="572" ht="21"/>
    <row r="573" ht="21"/>
    <row r="574" ht="21"/>
    <row r="575" ht="21"/>
    <row r="576" ht="21"/>
    <row r="577" ht="21"/>
    <row r="578" ht="21"/>
    <row r="579" ht="21"/>
    <row r="580" ht="21"/>
    <row r="581" ht="21"/>
    <row r="582" ht="21"/>
    <row r="583" ht="21"/>
    <row r="584" ht="21"/>
    <row r="585" ht="21"/>
    <row r="586" ht="21"/>
    <row r="587" ht="21"/>
    <row r="588" ht="21"/>
    <row r="589" ht="21"/>
    <row r="590" ht="21"/>
    <row r="591" ht="21"/>
    <row r="592" ht="21"/>
    <row r="593" ht="21"/>
    <row r="594" ht="21"/>
    <row r="595" ht="21"/>
    <row r="596" ht="21"/>
    <row r="597" ht="21"/>
    <row r="598" ht="21"/>
    <row r="599" ht="21"/>
    <row r="600" ht="21"/>
    <row r="601" ht="21"/>
    <row r="602" ht="21"/>
    <row r="603" ht="21"/>
    <row r="604" ht="21"/>
    <row r="605" ht="21"/>
    <row r="606" ht="21"/>
    <row r="607" ht="21"/>
    <row r="608" ht="21"/>
    <row r="609" ht="21"/>
    <row r="610" ht="21"/>
    <row r="611" ht="21"/>
    <row r="612" ht="21"/>
    <row r="613" ht="21"/>
    <row r="614" ht="21"/>
    <row r="615" ht="21"/>
    <row r="616" ht="21"/>
    <row r="617" ht="21"/>
    <row r="618" ht="21"/>
    <row r="619" ht="21"/>
    <row r="620" ht="21"/>
    <row r="621" ht="21"/>
    <row r="622" ht="21"/>
    <row r="623" ht="21"/>
    <row r="624" ht="21"/>
    <row r="625" ht="21"/>
    <row r="626" ht="21"/>
    <row r="627" ht="21"/>
    <row r="628" ht="21"/>
    <row r="629" ht="21"/>
    <row r="630" ht="21"/>
    <row r="631" ht="21"/>
    <row r="632" ht="21"/>
    <row r="633" ht="21"/>
    <row r="634" ht="21"/>
    <row r="635" ht="21"/>
    <row r="636" ht="21"/>
    <row r="637" ht="21"/>
    <row r="638" ht="21"/>
    <row r="639" ht="21"/>
    <row r="640" ht="21"/>
    <row r="641" ht="21"/>
    <row r="642" ht="21"/>
    <row r="643" ht="21"/>
    <row r="644" ht="21"/>
    <row r="645" ht="21"/>
    <row r="646" ht="21"/>
    <row r="647" ht="21"/>
    <row r="648" ht="21"/>
    <row r="649" ht="21"/>
    <row r="650" ht="21"/>
    <row r="651" ht="21"/>
    <row r="652" ht="21"/>
    <row r="653" ht="21"/>
    <row r="654" ht="21"/>
    <row r="655" ht="21"/>
    <row r="656" ht="21"/>
    <row r="657" ht="21"/>
    <row r="658" ht="21"/>
    <row r="659" ht="21"/>
    <row r="660" ht="21"/>
    <row r="661" ht="21"/>
    <row r="662" ht="21"/>
    <row r="663" ht="21"/>
    <row r="664" ht="21"/>
    <row r="665" ht="21"/>
    <row r="666" ht="21"/>
    <row r="667" ht="21"/>
    <row r="668" ht="21"/>
    <row r="669" ht="21"/>
    <row r="670" ht="21"/>
    <row r="671" ht="21"/>
    <row r="672" ht="21"/>
    <row r="673" ht="21"/>
    <row r="674" ht="21"/>
    <row r="675" ht="21"/>
    <row r="676" ht="21"/>
    <row r="677" ht="21"/>
    <row r="678" ht="21"/>
    <row r="679" ht="21"/>
    <row r="680" ht="21"/>
    <row r="681" ht="21"/>
    <row r="682" ht="21"/>
    <row r="683" ht="21"/>
    <row r="684" ht="21"/>
    <row r="685" ht="21"/>
    <row r="686" ht="21"/>
    <row r="687" ht="21"/>
    <row r="688" ht="21"/>
    <row r="689" ht="21"/>
    <row r="690" ht="21"/>
    <row r="691" ht="21"/>
    <row r="692" ht="21"/>
    <row r="693" ht="21"/>
    <row r="694" ht="21"/>
    <row r="695" ht="21"/>
    <row r="696" ht="21"/>
    <row r="697" ht="21"/>
    <row r="698" ht="21"/>
    <row r="699" ht="21"/>
    <row r="700" ht="21"/>
    <row r="701" ht="21"/>
    <row r="702" ht="21"/>
    <row r="703" ht="21"/>
    <row r="704" ht="21"/>
    <row r="705" ht="21"/>
    <row r="706" ht="21"/>
    <row r="707" ht="21"/>
    <row r="708" ht="21"/>
    <row r="709" ht="21"/>
    <row r="710" ht="21"/>
    <row r="711" ht="21"/>
    <row r="712" ht="21"/>
    <row r="713" ht="21"/>
    <row r="714" ht="21"/>
    <row r="715" ht="21"/>
    <row r="716" ht="21"/>
    <row r="717" ht="21"/>
    <row r="718" ht="21"/>
    <row r="719" ht="21"/>
    <row r="720" ht="21"/>
    <row r="721" ht="21"/>
    <row r="722" ht="21"/>
    <row r="723" ht="21"/>
    <row r="724" ht="21"/>
    <row r="725" ht="21"/>
    <row r="726" ht="21"/>
    <row r="727" ht="21"/>
    <row r="728" ht="21"/>
    <row r="729" ht="21"/>
    <row r="730" ht="21"/>
    <row r="731" ht="21"/>
    <row r="732" ht="21"/>
    <row r="733" ht="21"/>
    <row r="734" ht="21"/>
    <row r="735" ht="21"/>
    <row r="736" ht="21"/>
    <row r="737" ht="21"/>
    <row r="738" ht="21"/>
    <row r="739" ht="21"/>
    <row r="740" ht="21"/>
    <row r="741" ht="21"/>
    <row r="742" ht="21"/>
    <row r="743" ht="21"/>
    <row r="744" ht="21"/>
    <row r="745" ht="21"/>
    <row r="746" ht="21"/>
    <row r="747" ht="21"/>
    <row r="748" ht="21"/>
    <row r="749" ht="21"/>
    <row r="750" ht="21"/>
    <row r="751" ht="21"/>
    <row r="752" ht="21"/>
    <row r="753" ht="21"/>
    <row r="754" ht="21"/>
    <row r="755" ht="21"/>
    <row r="756" ht="21"/>
    <row r="757" ht="21"/>
    <row r="758" ht="21"/>
    <row r="759" ht="21"/>
    <row r="760" ht="21"/>
    <row r="761" ht="21"/>
    <row r="762" ht="21"/>
    <row r="763" ht="21"/>
    <row r="764" ht="21"/>
    <row r="765" ht="21"/>
    <row r="766" ht="21"/>
    <row r="767" ht="21"/>
    <row r="768" ht="21"/>
    <row r="769" ht="21"/>
    <row r="770" ht="21"/>
    <row r="771" ht="21"/>
    <row r="772" ht="21"/>
    <row r="773" ht="21"/>
    <row r="774" ht="21"/>
    <row r="775" ht="21"/>
    <row r="776" ht="21"/>
    <row r="777" ht="21"/>
    <row r="778" ht="21"/>
    <row r="779" ht="21"/>
    <row r="780" ht="21"/>
    <row r="781" ht="21"/>
    <row r="782" ht="21"/>
    <row r="783" ht="21"/>
    <row r="784" ht="21"/>
    <row r="785" ht="21"/>
    <row r="786" ht="21"/>
    <row r="787" ht="21"/>
    <row r="788" ht="21"/>
    <row r="789" ht="21"/>
    <row r="790" ht="21"/>
    <row r="791" ht="21"/>
    <row r="792" ht="21"/>
    <row r="793" ht="21"/>
    <row r="794" ht="21"/>
    <row r="795" ht="21"/>
    <row r="796" ht="21"/>
    <row r="797" ht="21"/>
    <row r="798" ht="21"/>
    <row r="799" ht="21"/>
    <row r="800" ht="21"/>
    <row r="801" ht="21"/>
    <row r="802" ht="21"/>
    <row r="803" ht="21"/>
    <row r="804" ht="21"/>
    <row r="805" ht="21"/>
    <row r="806" ht="21"/>
    <row r="807" ht="21"/>
    <row r="808" ht="21"/>
    <row r="809" ht="21"/>
    <row r="810" ht="21"/>
    <row r="811" ht="21"/>
    <row r="812" ht="21"/>
    <row r="813" ht="21"/>
    <row r="814" ht="21"/>
    <row r="815" ht="21"/>
    <row r="816" ht="21"/>
    <row r="817" ht="21"/>
    <row r="818" ht="21"/>
    <row r="819" ht="21"/>
    <row r="820" ht="21"/>
    <row r="821" ht="21"/>
    <row r="822" ht="21"/>
    <row r="823" ht="21"/>
    <row r="824" ht="21"/>
    <row r="825" ht="21"/>
    <row r="826" ht="21"/>
    <row r="827" ht="21"/>
    <row r="828" ht="21"/>
    <row r="829" ht="21"/>
    <row r="830" ht="21"/>
    <row r="831" ht="21"/>
    <row r="832" ht="21"/>
    <row r="833" ht="21"/>
    <row r="834" ht="21"/>
    <row r="835" ht="21"/>
    <row r="836" ht="21"/>
    <row r="837" ht="21"/>
    <row r="838" ht="21"/>
    <row r="839" ht="21"/>
    <row r="840" ht="21"/>
    <row r="841" ht="21"/>
    <row r="842" ht="21"/>
    <row r="843" ht="21"/>
    <row r="844" ht="21"/>
    <row r="845" ht="21"/>
    <row r="846" ht="21"/>
    <row r="847" ht="21"/>
    <row r="848" ht="21"/>
    <row r="849" ht="21"/>
    <row r="850" ht="21"/>
    <row r="851" ht="21"/>
    <row r="852" ht="21"/>
    <row r="853" ht="21"/>
    <row r="854" ht="21"/>
    <row r="855" ht="21"/>
    <row r="856" ht="21"/>
    <row r="857" ht="21"/>
    <row r="858" ht="21"/>
    <row r="859" ht="21"/>
    <row r="860" ht="21"/>
    <row r="861" ht="21"/>
    <row r="862" ht="21"/>
    <row r="863" ht="21"/>
    <row r="864" ht="21"/>
    <row r="865" ht="21"/>
    <row r="866" ht="21"/>
    <row r="867" ht="21"/>
    <row r="868" ht="21"/>
    <row r="869" ht="21"/>
    <row r="870" ht="21"/>
    <row r="871" ht="21"/>
    <row r="872" ht="21"/>
    <row r="873" ht="21"/>
    <row r="874" ht="21"/>
    <row r="875" ht="21"/>
    <row r="876" ht="21"/>
    <row r="877" ht="21"/>
    <row r="878" ht="21"/>
    <row r="879" ht="21"/>
    <row r="880" ht="21"/>
    <row r="881" ht="21"/>
    <row r="882" ht="21"/>
    <row r="883" ht="21"/>
    <row r="884" ht="21"/>
    <row r="885" ht="21"/>
    <row r="886" ht="21"/>
    <row r="887" ht="21"/>
    <row r="888" ht="21"/>
    <row r="889" ht="21"/>
    <row r="890" ht="21"/>
    <row r="891" ht="21"/>
    <row r="892" ht="21"/>
    <row r="893" ht="21"/>
    <row r="894" ht="21"/>
    <row r="895" ht="21"/>
    <row r="896" ht="21"/>
    <row r="897" ht="21"/>
    <row r="898" ht="21"/>
    <row r="899" ht="21"/>
    <row r="900" ht="21"/>
    <row r="901" ht="21"/>
    <row r="902" ht="21"/>
    <row r="903" ht="21"/>
    <row r="904" ht="21"/>
    <row r="905" ht="21"/>
    <row r="906" ht="21"/>
    <row r="907" ht="21"/>
    <row r="908" ht="21"/>
    <row r="909" ht="21"/>
    <row r="910" ht="21"/>
    <row r="911" ht="21"/>
    <row r="912" ht="21"/>
    <row r="913" ht="21"/>
    <row r="914" ht="21"/>
    <row r="915" ht="21"/>
    <row r="916" ht="21"/>
    <row r="917" ht="21"/>
    <row r="918" ht="21"/>
    <row r="919" ht="21"/>
    <row r="920" ht="21"/>
    <row r="921" ht="21"/>
    <row r="922" ht="21"/>
    <row r="923" ht="21"/>
    <row r="924" ht="21"/>
    <row r="925" ht="21"/>
    <row r="926" ht="21"/>
    <row r="927" ht="21"/>
    <row r="928" ht="21"/>
    <row r="929" ht="21"/>
    <row r="930" ht="21"/>
    <row r="931" ht="21"/>
    <row r="932" ht="21"/>
    <row r="933" ht="21"/>
    <row r="934" ht="21"/>
    <row r="935" ht="21"/>
    <row r="936" ht="21"/>
    <row r="937" ht="21"/>
    <row r="938" ht="21"/>
    <row r="939" ht="21"/>
    <row r="940" ht="21"/>
    <row r="941" ht="21"/>
    <row r="942" ht="21"/>
    <row r="943" ht="21"/>
    <row r="944" ht="21"/>
    <row r="945" ht="21"/>
    <row r="946" ht="21"/>
    <row r="947" ht="21"/>
    <row r="948" ht="21"/>
    <row r="949" ht="21"/>
    <row r="950" ht="21"/>
    <row r="951" ht="21"/>
    <row r="952" ht="21"/>
    <row r="953" ht="21"/>
    <row r="954" ht="21"/>
    <row r="955" ht="21"/>
  </sheetData>
  <autoFilter ref="A6:BF11" xr:uid="{4A81F9A6-E1DF-476D-9C6E-E0324B431CFB}"/>
  <mergeCells count="23">
    <mergeCell ref="D4:D6"/>
    <mergeCell ref="E4:E6"/>
    <mergeCell ref="AJ4:AM4"/>
    <mergeCell ref="T5:U5"/>
    <mergeCell ref="AF4:AI4"/>
    <mergeCell ref="F4:G4"/>
    <mergeCell ref="H4:I4"/>
    <mergeCell ref="B11:C11"/>
    <mergeCell ref="B4:B6"/>
    <mergeCell ref="A3:AO3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4:A6"/>
    <mergeCell ref="C4:C6"/>
  </mergeCells>
  <phoneticPr fontId="32" type="noConversion"/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39AE1197-67F2-4BEA-8331-92F087469C0A}">
            <xm:f>NOT(ISERROR(SEARCH(#REF!,A4)))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A5:T5 V5:Y5 AB5:AF5 Z5:AA6 F6:Y6 AB6:AI6 B6:C10 AN6:AN10 A7:A11 AF7:AM11 A4:AF4</xm:sqref>
        </x14:conditionalFormatting>
        <x14:conditionalFormatting xmlns:xm="http://schemas.microsoft.com/office/excel/2006/main">
          <x14:cfRule type="containsText" priority="1" operator="containsText" id="{D21C3246-3C41-45D9-8359-FE2D0C36C733}">
            <xm:f>NOT(ISERROR(SEARCH(#REF!,AJ4)))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AJ4:AJ6</xm:sqref>
        </x14:conditionalFormatting>
        <x14:conditionalFormatting xmlns:xm="http://schemas.microsoft.com/office/excel/2006/main">
          <x14:cfRule type="containsText" priority="2" operator="containsText" id="{3611CF6F-80CC-42A0-B618-5CF9819853E9}">
            <xm:f>NOT(ISERROR(SEARCH(#REF!,AK6)))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AK6:AM6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topLeftCell="A11" zoomScale="70" zoomScaleNormal="70" workbookViewId="0">
      <selection activeCell="F32" sqref="F32"/>
    </sheetView>
  </sheetViews>
  <sheetFormatPr defaultColWidth="7.8984375" defaultRowHeight="13.8"/>
  <cols>
    <col min="1" max="1" width="6.69921875" style="53" customWidth="1"/>
    <col min="2" max="2" width="13.19921875" style="45" customWidth="1"/>
    <col min="3" max="3" width="21.3984375" style="45" customWidth="1"/>
    <col min="4" max="4" width="17.09765625" style="53" customWidth="1"/>
    <col min="5" max="5" width="19.8984375" style="45" customWidth="1"/>
    <col min="6" max="6" width="15.8984375" style="54" customWidth="1"/>
    <col min="7" max="7" width="25.8984375" style="45" customWidth="1"/>
    <col min="8" max="16384" width="7.8984375" style="45"/>
  </cols>
  <sheetData>
    <row r="1" spans="1:7" ht="44.4" customHeight="1">
      <c r="A1" s="169" t="s">
        <v>27</v>
      </c>
      <c r="B1" s="169"/>
      <c r="C1" s="169"/>
      <c r="D1" s="169"/>
      <c r="E1" s="169"/>
      <c r="F1" s="44"/>
    </row>
    <row r="2" spans="1:7" s="48" customFormat="1" ht="15.6">
      <c r="A2" s="46" t="s">
        <v>28</v>
      </c>
      <c r="B2" s="47" t="s">
        <v>29</v>
      </c>
      <c r="C2" s="47" t="s">
        <v>30</v>
      </c>
      <c r="D2" s="46" t="s">
        <v>108</v>
      </c>
      <c r="E2" s="47" t="s">
        <v>31</v>
      </c>
      <c r="F2" s="47" t="s">
        <v>32</v>
      </c>
      <c r="G2" s="48" t="s">
        <v>118</v>
      </c>
    </row>
    <row r="3" spans="1:7" ht="22.5" customHeight="1">
      <c r="A3" s="49" t="s">
        <v>37</v>
      </c>
      <c r="B3" s="50" t="s">
        <v>47</v>
      </c>
      <c r="C3" s="50" t="s">
        <v>48</v>
      </c>
      <c r="D3" s="51" t="s">
        <v>49</v>
      </c>
      <c r="E3" s="50" t="s">
        <v>122</v>
      </c>
      <c r="F3" s="52" t="s">
        <v>19</v>
      </c>
    </row>
    <row r="4" spans="1:7" ht="22.5" customHeight="1">
      <c r="A4" s="49" t="s">
        <v>36</v>
      </c>
      <c r="B4" s="50" t="s">
        <v>56</v>
      </c>
      <c r="C4" s="50" t="s">
        <v>55</v>
      </c>
      <c r="D4" s="51" t="s">
        <v>57</v>
      </c>
      <c r="E4" s="50" t="s">
        <v>54</v>
      </c>
      <c r="F4" s="52" t="s">
        <v>19</v>
      </c>
    </row>
    <row r="5" spans="1:7" ht="22.5" customHeight="1">
      <c r="A5" s="49" t="s">
        <v>42</v>
      </c>
      <c r="B5" s="50" t="s">
        <v>59</v>
      </c>
      <c r="C5" s="50" t="s">
        <v>58</v>
      </c>
      <c r="D5" s="51" t="s">
        <v>61</v>
      </c>
      <c r="E5" s="50" t="s">
        <v>54</v>
      </c>
      <c r="F5" s="52" t="s">
        <v>19</v>
      </c>
    </row>
    <row r="6" spans="1:7" ht="22.5" customHeight="1">
      <c r="A6" s="49" t="s">
        <v>43</v>
      </c>
      <c r="B6" s="50" t="s">
        <v>81</v>
      </c>
      <c r="C6" s="50" t="s">
        <v>82</v>
      </c>
      <c r="D6" s="51" t="s">
        <v>89</v>
      </c>
      <c r="E6" s="50" t="s">
        <v>54</v>
      </c>
      <c r="F6" s="52" t="s">
        <v>19</v>
      </c>
    </row>
    <row r="7" spans="1:7" ht="22.5" customHeight="1">
      <c r="A7" s="49" t="s">
        <v>44</v>
      </c>
      <c r="B7" s="50" t="s">
        <v>71</v>
      </c>
      <c r="C7" s="50" t="s">
        <v>72</v>
      </c>
      <c r="D7" s="51" t="s">
        <v>90</v>
      </c>
      <c r="E7" s="50" t="s">
        <v>54</v>
      </c>
      <c r="F7" s="52" t="s">
        <v>19</v>
      </c>
    </row>
    <row r="8" spans="1:7" ht="22.5" customHeight="1">
      <c r="A8" s="49" t="s">
        <v>45</v>
      </c>
      <c r="B8" s="50" t="s">
        <v>73</v>
      </c>
      <c r="C8" s="50" t="s">
        <v>74</v>
      </c>
      <c r="D8" s="51" t="s">
        <v>91</v>
      </c>
      <c r="E8" s="50" t="s">
        <v>54</v>
      </c>
      <c r="F8" s="52" t="s">
        <v>19</v>
      </c>
      <c r="G8" s="128"/>
    </row>
    <row r="9" spans="1:7" ht="22.5" customHeight="1">
      <c r="A9" s="49" t="s">
        <v>46</v>
      </c>
      <c r="B9" s="50" t="s">
        <v>63</v>
      </c>
      <c r="C9" s="50" t="s">
        <v>64</v>
      </c>
      <c r="D9" s="51" t="s">
        <v>92</v>
      </c>
      <c r="E9" s="50" t="s">
        <v>54</v>
      </c>
      <c r="F9" s="52" t="s">
        <v>19</v>
      </c>
    </row>
    <row r="10" spans="1:7" ht="22.5" customHeight="1">
      <c r="A10" s="49" t="s">
        <v>38</v>
      </c>
      <c r="B10" s="50" t="s">
        <v>65</v>
      </c>
      <c r="C10" s="50" t="s">
        <v>66</v>
      </c>
      <c r="D10" s="51" t="s">
        <v>93</v>
      </c>
      <c r="E10" s="50" t="s">
        <v>54</v>
      </c>
      <c r="F10" s="52" t="s">
        <v>19</v>
      </c>
    </row>
    <row r="11" spans="1:7" ht="22.5" customHeight="1">
      <c r="A11" s="49" t="s">
        <v>39</v>
      </c>
      <c r="B11" s="50" t="s">
        <v>67</v>
      </c>
      <c r="C11" s="50" t="s">
        <v>68</v>
      </c>
      <c r="D11" s="51" t="s">
        <v>94</v>
      </c>
      <c r="E11" s="50" t="s">
        <v>33</v>
      </c>
      <c r="F11" s="52" t="s">
        <v>19</v>
      </c>
    </row>
    <row r="12" spans="1:7" ht="22.5" customHeight="1">
      <c r="A12" s="49" t="s">
        <v>40</v>
      </c>
      <c r="B12" s="50" t="s">
        <v>69</v>
      </c>
      <c r="C12" s="50" t="s">
        <v>70</v>
      </c>
      <c r="D12" s="51" t="s">
        <v>95</v>
      </c>
      <c r="E12" s="50" t="s">
        <v>54</v>
      </c>
      <c r="F12" s="52" t="s">
        <v>19</v>
      </c>
    </row>
    <row r="13" spans="1:7" ht="22.5" customHeight="1">
      <c r="A13" s="49" t="s">
        <v>51</v>
      </c>
      <c r="B13" s="50" t="s">
        <v>75</v>
      </c>
      <c r="C13" s="50" t="s">
        <v>76</v>
      </c>
      <c r="D13" s="51" t="s">
        <v>96</v>
      </c>
      <c r="E13" s="50" t="s">
        <v>54</v>
      </c>
      <c r="F13" s="52" t="s">
        <v>19</v>
      </c>
    </row>
    <row r="14" spans="1:7" ht="22.5" customHeight="1">
      <c r="A14" s="49" t="s">
        <v>85</v>
      </c>
      <c r="B14" s="50" t="s">
        <v>77</v>
      </c>
      <c r="C14" s="50" t="s">
        <v>78</v>
      </c>
      <c r="D14" s="51" t="s">
        <v>97</v>
      </c>
      <c r="E14" s="50" t="s">
        <v>54</v>
      </c>
      <c r="F14" s="52" t="s">
        <v>19</v>
      </c>
    </row>
    <row r="15" spans="1:7" ht="22.5" customHeight="1">
      <c r="A15" s="49" t="s">
        <v>86</v>
      </c>
      <c r="B15" s="50" t="s">
        <v>79</v>
      </c>
      <c r="C15" s="50" t="s">
        <v>80</v>
      </c>
      <c r="D15" s="51" t="s">
        <v>98</v>
      </c>
      <c r="E15" s="50" t="s">
        <v>54</v>
      </c>
      <c r="F15" s="52" t="s">
        <v>19</v>
      </c>
    </row>
    <row r="16" spans="1:7" ht="22.5" customHeight="1">
      <c r="A16" s="49" t="s">
        <v>87</v>
      </c>
      <c r="B16" s="50" t="s">
        <v>83</v>
      </c>
      <c r="C16" s="50" t="s">
        <v>84</v>
      </c>
      <c r="D16" s="51" t="s">
        <v>99</v>
      </c>
      <c r="E16" s="50" t="s">
        <v>54</v>
      </c>
      <c r="F16" s="52" t="s">
        <v>19</v>
      </c>
    </row>
    <row r="17" spans="1:6" ht="24.45" customHeight="1">
      <c r="A17" s="49" t="s">
        <v>88</v>
      </c>
      <c r="B17" s="50" t="s">
        <v>102</v>
      </c>
      <c r="C17" s="50" t="s">
        <v>103</v>
      </c>
      <c r="D17" s="51" t="s">
        <v>107</v>
      </c>
      <c r="E17" s="50" t="s">
        <v>60</v>
      </c>
      <c r="F17" s="52" t="s">
        <v>19</v>
      </c>
    </row>
    <row r="18" spans="1:6" ht="24.45" customHeight="1">
      <c r="A18" s="49"/>
      <c r="B18" s="50" t="s">
        <v>124</v>
      </c>
      <c r="C18" s="50" t="s">
        <v>123</v>
      </c>
      <c r="D18" s="51" t="s">
        <v>125</v>
      </c>
      <c r="E18" s="50" t="s">
        <v>54</v>
      </c>
      <c r="F18" s="52" t="s">
        <v>19</v>
      </c>
    </row>
    <row r="19" spans="1:6" ht="24.45" customHeight="1">
      <c r="A19" s="49" t="s">
        <v>104</v>
      </c>
      <c r="B19" s="50" t="s">
        <v>100</v>
      </c>
      <c r="C19" s="50" t="s">
        <v>101</v>
      </c>
      <c r="D19" s="51" t="s">
        <v>109</v>
      </c>
      <c r="E19" s="50" t="s">
        <v>110</v>
      </c>
      <c r="F19" s="52" t="s">
        <v>19</v>
      </c>
    </row>
    <row r="20" spans="1:6" ht="24.45" customHeight="1">
      <c r="A20" s="49" t="s">
        <v>105</v>
      </c>
      <c r="B20" s="50" t="s">
        <v>111</v>
      </c>
      <c r="C20" s="50" t="s">
        <v>112</v>
      </c>
      <c r="D20" s="51" t="s">
        <v>115</v>
      </c>
      <c r="E20" s="50" t="s">
        <v>54</v>
      </c>
      <c r="F20" s="52" t="s">
        <v>19</v>
      </c>
    </row>
    <row r="21" spans="1:6" ht="24.45" customHeight="1">
      <c r="A21" s="49" t="s">
        <v>106</v>
      </c>
      <c r="B21" s="50" t="s">
        <v>113</v>
      </c>
      <c r="C21" s="50" t="s">
        <v>114</v>
      </c>
      <c r="D21" s="51" t="s">
        <v>116</v>
      </c>
      <c r="E21" s="50" t="s">
        <v>54</v>
      </c>
      <c r="F21" s="52" t="s">
        <v>19</v>
      </c>
    </row>
    <row r="22" spans="1:6" ht="24.45" customHeight="1">
      <c r="A22" s="49"/>
      <c r="B22" s="50"/>
      <c r="C22" s="50"/>
      <c r="D22" s="51"/>
      <c r="E22" s="50"/>
      <c r="F22" s="52"/>
    </row>
    <row r="23" spans="1:6" ht="24.45" customHeight="1">
      <c r="A23" s="49"/>
      <c r="B23" s="50"/>
      <c r="C23" s="50"/>
      <c r="D23" s="51"/>
      <c r="E23" s="50"/>
      <c r="F23" s="52"/>
    </row>
    <row r="24" spans="1:6" ht="24.45" customHeight="1">
      <c r="A24" s="51"/>
      <c r="B24" s="50"/>
      <c r="C24" s="50"/>
      <c r="D24" s="51"/>
      <c r="E24" s="50"/>
      <c r="F24" s="44"/>
    </row>
    <row r="42" spans="3:3" ht="21">
      <c r="C42" s="100"/>
    </row>
    <row r="43" spans="3:3" ht="21">
      <c r="C43" s="100"/>
    </row>
  </sheetData>
  <autoFilter ref="A2:F21" xr:uid="{00000000-0009-0000-0000-000001000000}"/>
  <mergeCells count="1">
    <mergeCell ref="A1:E1"/>
  </mergeCells>
  <phoneticPr fontId="25" type="noConversion"/>
  <conditionalFormatting sqref="C22:C38">
    <cfRule type="duplicateValues" dxfId="2" priority="3"/>
  </conditionalFormatting>
  <conditionalFormatting sqref="C44:C1048576 C1:C41">
    <cfRule type="duplicateValues" dxfId="0" priority="2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5F60D43-D5F4-4FA4-8CBA-871E51C6D8B8}">
            <xm:f>NOT(ISERROR(SEARCH(#REF!,C42)))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C42:C43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zoomScaleNormal="100" workbookViewId="0">
      <selection activeCell="F7" sqref="F7"/>
    </sheetView>
  </sheetViews>
  <sheetFormatPr defaultRowHeight="13.8"/>
  <cols>
    <col min="1" max="1" width="5" customWidth="1"/>
    <col min="2" max="2" width="29" customWidth="1"/>
    <col min="3" max="3" width="23.09765625" customWidth="1"/>
    <col min="4" max="4" width="22.3984375" customWidth="1"/>
    <col min="5" max="5" width="11.3984375" customWidth="1"/>
    <col min="6" max="6" width="11.69921875" customWidth="1"/>
  </cols>
  <sheetData>
    <row r="1" spans="1:4" s="1" customFormat="1" ht="27" customHeight="1"/>
    <row r="2" spans="1:4" s="1" customFormat="1" ht="15" customHeight="1">
      <c r="A2" s="2" t="s">
        <v>0</v>
      </c>
    </row>
    <row r="3" spans="1:4" s="1" customFormat="1" ht="12" customHeight="1">
      <c r="A3" s="9" t="s">
        <v>1</v>
      </c>
    </row>
    <row r="4" spans="1:4" s="1" customFormat="1" ht="7.5" customHeight="1"/>
    <row r="5" spans="1:4" s="1" customFormat="1" ht="24.75" customHeight="1">
      <c r="A5" s="170" t="s">
        <v>12</v>
      </c>
      <c r="B5" s="170"/>
      <c r="C5" s="170"/>
      <c r="D5" s="170"/>
    </row>
    <row r="6" spans="1:4" s="1" customFormat="1" ht="20.399999999999999">
      <c r="A6" s="3"/>
      <c r="B6" s="3"/>
      <c r="C6" s="3"/>
      <c r="D6" s="3"/>
    </row>
    <row r="7" spans="1:4" ht="33" customHeight="1">
      <c r="B7" s="5" t="s">
        <v>11</v>
      </c>
      <c r="C7" s="5" t="s">
        <v>13</v>
      </c>
      <c r="D7" s="5" t="s">
        <v>14</v>
      </c>
    </row>
    <row r="8" spans="1:4" ht="22.5" customHeight="1">
      <c r="B8" s="6" t="s">
        <v>9</v>
      </c>
      <c r="C8" s="10">
        <v>44604</v>
      </c>
      <c r="D8" s="7">
        <v>163000</v>
      </c>
    </row>
    <row r="9" spans="1:4" ht="22.5" customHeight="1">
      <c r="B9" s="6" t="s">
        <v>10</v>
      </c>
      <c r="C9" s="10">
        <v>44666</v>
      </c>
      <c r="D9" s="7">
        <v>270000</v>
      </c>
    </row>
    <row r="10" spans="1:4" ht="22.5" customHeight="1">
      <c r="B10" s="6" t="s">
        <v>15</v>
      </c>
      <c r="C10" s="10">
        <v>44666</v>
      </c>
      <c r="D10" s="7">
        <v>270000</v>
      </c>
    </row>
    <row r="11" spans="1:4" ht="30.75" customHeight="1">
      <c r="B11" s="8" t="s">
        <v>2</v>
      </c>
      <c r="C11" s="4"/>
      <c r="D11" s="4">
        <f>SUM(D8:D10)</f>
        <v>703000</v>
      </c>
    </row>
  </sheetData>
  <mergeCells count="1">
    <mergeCell ref="A5:D5"/>
  </mergeCells>
  <pageMargins left="0.76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Có tay nghề</vt:lpstr>
      <vt:lpstr>Không có tay nghề</vt:lpstr>
      <vt:lpstr>Stk</vt:lpstr>
      <vt:lpstr>Hỗ trợ khác</vt:lpstr>
      <vt:lpstr>'Có tay nghề'!Print_Area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Thi Thoa</dc:creator>
  <cp:lastModifiedBy>Cường Nguyễn văn</cp:lastModifiedBy>
  <cp:lastPrinted>2024-11-04T03:53:48Z</cp:lastPrinted>
  <dcterms:created xsi:type="dcterms:W3CDTF">2019-01-05T09:11:00Z</dcterms:created>
  <dcterms:modified xsi:type="dcterms:W3CDTF">2026-08-31T07:40:16Z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1033-11.2.0.9070</vt:lpwstr>
  </property>
  <property fmtid="{D5CDD505-2E9C-101B-9397-08002B2CF9AE}" pid="3" name="KSOReadingLayout">
    <vt:bool>false</vt:bool>
  </property>
</Properties>
</file>