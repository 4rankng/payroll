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8_{B987EB7C-7E63-3D47-8176-55F182EEA1ED}" xr6:coauthVersionLast="47" xr6:coauthVersionMax="47" xr10:uidLastSave="{00000000-0000-0000-0000-000000000000}"/>
  <bookViews>
    <workbookView xWindow="0" yWindow="600" windowWidth="34820" windowHeight="21340" xr2:uid="{00000000-000D-0000-FFFF-FFFF00000000}"/>
  </bookViews>
  <sheets>
    <sheet name="BCC" sheetId="1" r:id="rId1"/>
    <sheet name="STK" sheetId="4" r:id="rId2"/>
  </sheets>
  <definedNames>
    <definedName name="_xlnm._FilterDatabase" localSheetId="0" hidden="1">BCC!$A$10:$EM$85</definedName>
    <definedName name="_xlnm._FilterDatabase" localSheetId="1" hidden="1">STK!$A$3:$F$77</definedName>
    <definedName name="_xlnm.Print_Area" localSheetId="0">BCC!$A$1:$DH$85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4" i="4"/>
  <c r="F76" i="4"/>
  <c r="F77" i="4"/>
  <c r="EC64" i="1"/>
  <c r="ED64" i="1"/>
  <c r="EE64" i="1"/>
  <c r="EF64" i="1"/>
  <c r="EG64" i="1"/>
  <c r="EH64" i="1"/>
  <c r="EI64" i="1"/>
  <c r="EJ64" i="1"/>
  <c r="EC18" i="1"/>
  <c r="ED18" i="1"/>
  <c r="EE18" i="1"/>
  <c r="EF18" i="1"/>
  <c r="EG18" i="1"/>
  <c r="EH18" i="1"/>
  <c r="EI18" i="1"/>
  <c r="EJ18" i="1"/>
  <c r="EC19" i="1"/>
  <c r="ED19" i="1"/>
  <c r="EE19" i="1"/>
  <c r="EF19" i="1"/>
  <c r="EG19" i="1"/>
  <c r="EH19" i="1"/>
  <c r="EI19" i="1"/>
  <c r="EJ19" i="1"/>
  <c r="EC65" i="1"/>
  <c r="ED65" i="1"/>
  <c r="EE65" i="1"/>
  <c r="EF65" i="1"/>
  <c r="EG65" i="1"/>
  <c r="EH65" i="1"/>
  <c r="EI65" i="1"/>
  <c r="EJ65" i="1"/>
  <c r="EC66" i="1"/>
  <c r="ED66" i="1"/>
  <c r="EE66" i="1"/>
  <c r="EF66" i="1"/>
  <c r="EG66" i="1"/>
  <c r="EH66" i="1"/>
  <c r="EI66" i="1"/>
  <c r="EJ66" i="1"/>
  <c r="EC67" i="1"/>
  <c r="ED67" i="1"/>
  <c r="EE67" i="1"/>
  <c r="EF67" i="1"/>
  <c r="EG67" i="1"/>
  <c r="EH67" i="1"/>
  <c r="EI67" i="1"/>
  <c r="EJ67" i="1"/>
  <c r="EC68" i="1"/>
  <c r="ED68" i="1"/>
  <c r="EE68" i="1"/>
  <c r="EF68" i="1"/>
  <c r="EG68" i="1"/>
  <c r="EH68" i="1"/>
  <c r="EI68" i="1"/>
  <c r="EJ68" i="1"/>
  <c r="EC69" i="1"/>
  <c r="ED69" i="1"/>
  <c r="EE69" i="1"/>
  <c r="EF69" i="1"/>
  <c r="EG69" i="1"/>
  <c r="EH69" i="1"/>
  <c r="EI69" i="1"/>
  <c r="EJ69" i="1"/>
  <c r="EL85" i="1" l="1"/>
  <c r="EK85" i="1"/>
  <c r="EC30" i="1" l="1"/>
  <c r="ED30" i="1"/>
  <c r="EE30" i="1"/>
  <c r="EF30" i="1"/>
  <c r="EG30" i="1"/>
  <c r="EH30" i="1"/>
  <c r="EI30" i="1"/>
  <c r="EJ30" i="1"/>
  <c r="EC31" i="1"/>
  <c r="ED31" i="1"/>
  <c r="EE31" i="1"/>
  <c r="EF31" i="1"/>
  <c r="EG31" i="1"/>
  <c r="EH31" i="1"/>
  <c r="EI31" i="1"/>
  <c r="EJ31" i="1"/>
  <c r="EC32" i="1"/>
  <c r="ED32" i="1"/>
  <c r="EE32" i="1"/>
  <c r="EF32" i="1"/>
  <c r="EG32" i="1"/>
  <c r="EH32" i="1"/>
  <c r="EI32" i="1"/>
  <c r="EJ32" i="1"/>
  <c r="EC33" i="1"/>
  <c r="ED33" i="1"/>
  <c r="EE33" i="1"/>
  <c r="EF33" i="1"/>
  <c r="EG33" i="1"/>
  <c r="EH33" i="1"/>
  <c r="EI33" i="1"/>
  <c r="EJ33" i="1"/>
  <c r="EC34" i="1"/>
  <c r="ED34" i="1"/>
  <c r="EE34" i="1"/>
  <c r="EF34" i="1"/>
  <c r="EG34" i="1"/>
  <c r="EH34" i="1"/>
  <c r="EI34" i="1"/>
  <c r="EJ34" i="1"/>
  <c r="EC35" i="1"/>
  <c r="ED35" i="1"/>
  <c r="EE35" i="1"/>
  <c r="EF35" i="1"/>
  <c r="EG35" i="1"/>
  <c r="EH35" i="1"/>
  <c r="EI35" i="1"/>
  <c r="EJ35" i="1"/>
  <c r="EC36" i="1"/>
  <c r="ED36" i="1"/>
  <c r="EE36" i="1"/>
  <c r="EF36" i="1"/>
  <c r="EG36" i="1"/>
  <c r="EH36" i="1"/>
  <c r="EI36" i="1"/>
  <c r="EJ36" i="1"/>
  <c r="EC79" i="1"/>
  <c r="ED79" i="1"/>
  <c r="EE79" i="1"/>
  <c r="EF79" i="1"/>
  <c r="EG79" i="1"/>
  <c r="EH79" i="1"/>
  <c r="EI79" i="1"/>
  <c r="EJ79" i="1"/>
  <c r="EC82" i="1"/>
  <c r="ED82" i="1"/>
  <c r="EE82" i="1"/>
  <c r="EF82" i="1"/>
  <c r="EG82" i="1"/>
  <c r="EH82" i="1"/>
  <c r="EI82" i="1"/>
  <c r="EJ82" i="1"/>
  <c r="EC80" i="1"/>
  <c r="ED80" i="1"/>
  <c r="EE80" i="1"/>
  <c r="EF80" i="1"/>
  <c r="EG80" i="1"/>
  <c r="EH80" i="1"/>
  <c r="EI80" i="1"/>
  <c r="EJ80" i="1"/>
  <c r="EC81" i="1"/>
  <c r="ED81" i="1"/>
  <c r="EE81" i="1"/>
  <c r="EF81" i="1"/>
  <c r="EG81" i="1"/>
  <c r="EH81" i="1"/>
  <c r="EI81" i="1"/>
  <c r="EJ81" i="1"/>
  <c r="EC37" i="1"/>
  <c r="ED37" i="1"/>
  <c r="EE37" i="1"/>
  <c r="EF37" i="1"/>
  <c r="EG37" i="1"/>
  <c r="EH37" i="1"/>
  <c r="EI37" i="1"/>
  <c r="EJ37" i="1"/>
  <c r="EC38" i="1"/>
  <c r="ED38" i="1"/>
  <c r="EE38" i="1"/>
  <c r="EF38" i="1"/>
  <c r="EG38" i="1"/>
  <c r="EH38" i="1"/>
  <c r="EI38" i="1"/>
  <c r="EJ38" i="1"/>
  <c r="EC39" i="1"/>
  <c r="ED39" i="1"/>
  <c r="EE39" i="1"/>
  <c r="EF39" i="1"/>
  <c r="EG39" i="1"/>
  <c r="EH39" i="1"/>
  <c r="EI39" i="1"/>
  <c r="EJ39" i="1"/>
  <c r="EC40" i="1"/>
  <c r="ED40" i="1"/>
  <c r="EE40" i="1"/>
  <c r="EF40" i="1"/>
  <c r="EG40" i="1"/>
  <c r="EH40" i="1"/>
  <c r="EI40" i="1"/>
  <c r="EJ40" i="1"/>
  <c r="EC41" i="1"/>
  <c r="ED41" i="1"/>
  <c r="EE41" i="1"/>
  <c r="EF41" i="1"/>
  <c r="EG41" i="1"/>
  <c r="EH41" i="1"/>
  <c r="EI41" i="1"/>
  <c r="EJ41" i="1"/>
  <c r="EC42" i="1"/>
  <c r="ED42" i="1"/>
  <c r="EE42" i="1"/>
  <c r="EF42" i="1"/>
  <c r="EG42" i="1"/>
  <c r="EH42" i="1"/>
  <c r="EI42" i="1"/>
  <c r="EJ42" i="1"/>
  <c r="EC16" i="1"/>
  <c r="ED16" i="1"/>
  <c r="EE16" i="1"/>
  <c r="EF16" i="1"/>
  <c r="EG16" i="1"/>
  <c r="EH16" i="1"/>
  <c r="EI16" i="1"/>
  <c r="EJ16" i="1"/>
  <c r="EC43" i="1"/>
  <c r="ED43" i="1"/>
  <c r="EE43" i="1"/>
  <c r="EF43" i="1"/>
  <c r="EG43" i="1"/>
  <c r="EH43" i="1"/>
  <c r="EI43" i="1"/>
  <c r="EJ43" i="1"/>
  <c r="EC44" i="1"/>
  <c r="ED44" i="1"/>
  <c r="EE44" i="1"/>
  <c r="EF44" i="1"/>
  <c r="EG44" i="1"/>
  <c r="EH44" i="1"/>
  <c r="EI44" i="1"/>
  <c r="EJ44" i="1"/>
  <c r="EC45" i="1"/>
  <c r="EE45" i="1"/>
  <c r="EF45" i="1"/>
  <c r="EG45" i="1"/>
  <c r="EH45" i="1"/>
  <c r="EI45" i="1"/>
  <c r="EJ45" i="1"/>
  <c r="EC46" i="1"/>
  <c r="ED46" i="1"/>
  <c r="EE46" i="1"/>
  <c r="EF46" i="1"/>
  <c r="EG46" i="1"/>
  <c r="EH46" i="1"/>
  <c r="EI46" i="1"/>
  <c r="EJ46" i="1"/>
  <c r="EC47" i="1"/>
  <c r="ED47" i="1"/>
  <c r="EE47" i="1"/>
  <c r="EF47" i="1"/>
  <c r="EG47" i="1"/>
  <c r="EH47" i="1"/>
  <c r="EI47" i="1"/>
  <c r="EJ47" i="1"/>
  <c r="EC48" i="1"/>
  <c r="ED48" i="1"/>
  <c r="EE48" i="1"/>
  <c r="EF48" i="1"/>
  <c r="EG48" i="1"/>
  <c r="EH48" i="1"/>
  <c r="EI48" i="1"/>
  <c r="EJ48" i="1"/>
  <c r="EC17" i="1"/>
  <c r="ED17" i="1"/>
  <c r="EE17" i="1"/>
  <c r="EF17" i="1"/>
  <c r="EG17" i="1"/>
  <c r="EH17" i="1"/>
  <c r="EI17" i="1"/>
  <c r="EJ17" i="1"/>
  <c r="EC49" i="1"/>
  <c r="ED49" i="1"/>
  <c r="EE49" i="1"/>
  <c r="EF49" i="1"/>
  <c r="EG49" i="1"/>
  <c r="EH49" i="1"/>
  <c r="EI49" i="1"/>
  <c r="EJ49" i="1"/>
  <c r="EC50" i="1"/>
  <c r="ED50" i="1"/>
  <c r="EE50" i="1"/>
  <c r="EF50" i="1"/>
  <c r="EG50" i="1"/>
  <c r="EH50" i="1"/>
  <c r="EI50" i="1"/>
  <c r="EJ50" i="1"/>
  <c r="EC51" i="1"/>
  <c r="ED51" i="1"/>
  <c r="EE51" i="1"/>
  <c r="EF51" i="1"/>
  <c r="EG51" i="1"/>
  <c r="EH51" i="1"/>
  <c r="EI51" i="1"/>
  <c r="EJ51" i="1"/>
  <c r="EC52" i="1"/>
  <c r="ED52" i="1"/>
  <c r="EE52" i="1"/>
  <c r="EF52" i="1"/>
  <c r="EG52" i="1"/>
  <c r="EH52" i="1"/>
  <c r="EI52" i="1"/>
  <c r="EJ52" i="1"/>
  <c r="EC13" i="1"/>
  <c r="ED13" i="1"/>
  <c r="EE13" i="1"/>
  <c r="EF13" i="1"/>
  <c r="EG13" i="1"/>
  <c r="EH13" i="1"/>
  <c r="EI13" i="1"/>
  <c r="EJ13" i="1"/>
  <c r="EC14" i="1"/>
  <c r="ED14" i="1"/>
  <c r="EE14" i="1"/>
  <c r="EF14" i="1"/>
  <c r="EG14" i="1"/>
  <c r="EH14" i="1"/>
  <c r="EI14" i="1"/>
  <c r="EJ14" i="1"/>
  <c r="EC11" i="1"/>
  <c r="ED11" i="1"/>
  <c r="EE11" i="1"/>
  <c r="EF11" i="1"/>
  <c r="EG11" i="1"/>
  <c r="EH11" i="1"/>
  <c r="EI11" i="1"/>
  <c r="EJ11" i="1"/>
  <c r="EC12" i="1"/>
  <c r="ED12" i="1"/>
  <c r="EE12" i="1"/>
  <c r="EF12" i="1"/>
  <c r="EG12" i="1"/>
  <c r="EH12" i="1"/>
  <c r="EI12" i="1"/>
  <c r="EJ12" i="1"/>
  <c r="EC53" i="1"/>
  <c r="ED53" i="1"/>
  <c r="EE53" i="1"/>
  <c r="EF53" i="1"/>
  <c r="EG53" i="1"/>
  <c r="EH53" i="1"/>
  <c r="EI53" i="1"/>
  <c r="EJ53" i="1"/>
  <c r="EC54" i="1"/>
  <c r="ED54" i="1"/>
  <c r="EE54" i="1"/>
  <c r="EF54" i="1"/>
  <c r="EG54" i="1"/>
  <c r="EH54" i="1"/>
  <c r="EI54" i="1"/>
  <c r="EJ54" i="1"/>
  <c r="EC55" i="1"/>
  <c r="ED55" i="1"/>
  <c r="EE55" i="1"/>
  <c r="EF55" i="1"/>
  <c r="EG55" i="1"/>
  <c r="EH55" i="1"/>
  <c r="EI55" i="1"/>
  <c r="EJ55" i="1"/>
  <c r="EC56" i="1"/>
  <c r="ED56" i="1"/>
  <c r="EE56" i="1"/>
  <c r="EF56" i="1"/>
  <c r="EG56" i="1"/>
  <c r="EH56" i="1"/>
  <c r="EI56" i="1"/>
  <c r="EJ56" i="1"/>
  <c r="EC57" i="1"/>
  <c r="ED57" i="1"/>
  <c r="EE57" i="1"/>
  <c r="EF57" i="1"/>
  <c r="EG57" i="1"/>
  <c r="EH57" i="1"/>
  <c r="EI57" i="1"/>
  <c r="EJ57" i="1"/>
  <c r="EC58" i="1"/>
  <c r="ED58" i="1"/>
  <c r="EE58" i="1"/>
  <c r="EF58" i="1"/>
  <c r="EG58" i="1"/>
  <c r="EH58" i="1"/>
  <c r="EI58" i="1"/>
  <c r="EJ58" i="1"/>
  <c r="EC59" i="1"/>
  <c r="ED59" i="1"/>
  <c r="EE59" i="1"/>
  <c r="EF59" i="1"/>
  <c r="EG59" i="1"/>
  <c r="EH59" i="1"/>
  <c r="EI59" i="1"/>
  <c r="EJ59" i="1"/>
  <c r="EC60" i="1"/>
  <c r="ED60" i="1"/>
  <c r="EE60" i="1"/>
  <c r="EF60" i="1"/>
  <c r="EG60" i="1"/>
  <c r="EH60" i="1"/>
  <c r="EI60" i="1"/>
  <c r="EJ60" i="1"/>
  <c r="EC61" i="1"/>
  <c r="ED61" i="1"/>
  <c r="EE61" i="1"/>
  <c r="EF61" i="1"/>
  <c r="EG61" i="1"/>
  <c r="EH61" i="1"/>
  <c r="EI61" i="1"/>
  <c r="EJ61" i="1"/>
  <c r="EC62" i="1"/>
  <c r="ED62" i="1"/>
  <c r="EE62" i="1"/>
  <c r="EF62" i="1"/>
  <c r="EG62" i="1"/>
  <c r="EH62" i="1"/>
  <c r="EI62" i="1"/>
  <c r="EJ62" i="1"/>
  <c r="EC63" i="1"/>
  <c r="ED63" i="1"/>
  <c r="EE63" i="1"/>
  <c r="EF63" i="1"/>
  <c r="EG63" i="1"/>
  <c r="EH63" i="1"/>
  <c r="EI63" i="1"/>
  <c r="EJ63" i="1"/>
  <c r="EC83" i="1"/>
  <c r="ED83" i="1"/>
  <c r="EE83" i="1"/>
  <c r="EF83" i="1"/>
  <c r="EG83" i="1"/>
  <c r="EH83" i="1"/>
  <c r="EI83" i="1"/>
  <c r="EJ83" i="1"/>
  <c r="EC84" i="1"/>
  <c r="ED84" i="1"/>
  <c r="EE84" i="1"/>
  <c r="EF84" i="1"/>
  <c r="EG84" i="1"/>
  <c r="EH84" i="1"/>
  <c r="EI84" i="1"/>
  <c r="EJ84" i="1"/>
  <c r="EC74" i="1" l="1"/>
  <c r="ED74" i="1"/>
  <c r="EE74" i="1"/>
  <c r="EF74" i="1"/>
  <c r="EG74" i="1"/>
  <c r="EH74" i="1"/>
  <c r="EI74" i="1"/>
  <c r="EJ74" i="1"/>
  <c r="EC26" i="1"/>
  <c r="ED26" i="1"/>
  <c r="EE26" i="1"/>
  <c r="EF26" i="1"/>
  <c r="EG26" i="1"/>
  <c r="EH26" i="1"/>
  <c r="EI26" i="1"/>
  <c r="EJ26" i="1"/>
  <c r="EC27" i="1"/>
  <c r="ED27" i="1"/>
  <c r="EE27" i="1"/>
  <c r="EF27" i="1"/>
  <c r="EG27" i="1"/>
  <c r="EH27" i="1"/>
  <c r="EI27" i="1"/>
  <c r="EJ27" i="1"/>
  <c r="EC28" i="1"/>
  <c r="ED28" i="1"/>
  <c r="EE28" i="1"/>
  <c r="EF28" i="1"/>
  <c r="EG28" i="1"/>
  <c r="EH28" i="1"/>
  <c r="EI28" i="1"/>
  <c r="EJ28" i="1"/>
  <c r="EC29" i="1"/>
  <c r="ED29" i="1"/>
  <c r="EE29" i="1"/>
  <c r="EF29" i="1"/>
  <c r="EG29" i="1"/>
  <c r="EH29" i="1"/>
  <c r="EI29" i="1"/>
  <c r="EJ29" i="1"/>
  <c r="EC75" i="1"/>
  <c r="ED75" i="1"/>
  <c r="EE75" i="1"/>
  <c r="EF75" i="1"/>
  <c r="EG75" i="1"/>
  <c r="EH75" i="1"/>
  <c r="EI75" i="1"/>
  <c r="EJ75" i="1"/>
  <c r="EC76" i="1"/>
  <c r="ED76" i="1"/>
  <c r="EE76" i="1"/>
  <c r="EF76" i="1"/>
  <c r="EG76" i="1"/>
  <c r="EH76" i="1"/>
  <c r="EI76" i="1"/>
  <c r="EJ76" i="1"/>
  <c r="EC77" i="1"/>
  <c r="ED77" i="1"/>
  <c r="EE77" i="1"/>
  <c r="EF77" i="1"/>
  <c r="EG77" i="1"/>
  <c r="EH77" i="1"/>
  <c r="EI77" i="1"/>
  <c r="EJ77" i="1"/>
  <c r="EC78" i="1"/>
  <c r="ED78" i="1"/>
  <c r="EE78" i="1"/>
  <c r="EF78" i="1"/>
  <c r="EG78" i="1"/>
  <c r="EH78" i="1"/>
  <c r="EI78" i="1"/>
  <c r="EJ78" i="1"/>
  <c r="EC15" i="1"/>
  <c r="ED15" i="1"/>
  <c r="EE15" i="1"/>
  <c r="EF15" i="1"/>
  <c r="EG15" i="1"/>
  <c r="EH15" i="1"/>
  <c r="EI15" i="1"/>
  <c r="EJ15" i="1"/>
  <c r="EC25" i="1"/>
  <c r="ED25" i="1"/>
  <c r="EE25" i="1"/>
  <c r="EF25" i="1"/>
  <c r="EG25" i="1"/>
  <c r="EH25" i="1"/>
  <c r="EI25" i="1"/>
  <c r="EJ25" i="1"/>
  <c r="EC22" i="1"/>
  <c r="ED22" i="1"/>
  <c r="EE22" i="1"/>
  <c r="EF22" i="1"/>
  <c r="EG22" i="1"/>
  <c r="EH22" i="1"/>
  <c r="EI22" i="1"/>
  <c r="EJ22" i="1"/>
  <c r="EC23" i="1"/>
  <c r="ED23" i="1"/>
  <c r="EE23" i="1"/>
  <c r="EF23" i="1"/>
  <c r="EG23" i="1"/>
  <c r="EH23" i="1"/>
  <c r="EI23" i="1"/>
  <c r="EJ23" i="1"/>
  <c r="EC24" i="1"/>
  <c r="ED24" i="1"/>
  <c r="EE24" i="1"/>
  <c r="EF24" i="1"/>
  <c r="EG24" i="1"/>
  <c r="EH24" i="1"/>
  <c r="EI24" i="1"/>
  <c r="EJ24" i="1"/>
  <c r="EC73" i="1"/>
  <c r="ED73" i="1"/>
  <c r="EE73" i="1"/>
  <c r="EF73" i="1"/>
  <c r="EG73" i="1"/>
  <c r="EH73" i="1"/>
  <c r="EI73" i="1"/>
  <c r="EJ73" i="1"/>
  <c r="EC20" i="1"/>
  <c r="ED20" i="1"/>
  <c r="EE20" i="1"/>
  <c r="EF20" i="1"/>
  <c r="EG20" i="1"/>
  <c r="EH20" i="1"/>
  <c r="EI20" i="1"/>
  <c r="EJ20" i="1"/>
  <c r="ED21" i="1"/>
  <c r="EE21" i="1"/>
  <c r="EF21" i="1"/>
  <c r="EG21" i="1"/>
  <c r="EH21" i="1"/>
  <c r="EI21" i="1"/>
  <c r="EJ21" i="1"/>
  <c r="EC72" i="1" l="1"/>
  <c r="ED72" i="1"/>
  <c r="EE72" i="1"/>
  <c r="EF72" i="1"/>
  <c r="EG72" i="1"/>
  <c r="EH72" i="1"/>
  <c r="EI72" i="1"/>
  <c r="EJ72" i="1"/>
  <c r="EC71" i="1" l="1"/>
  <c r="ED71" i="1"/>
  <c r="EE71" i="1"/>
  <c r="EF71" i="1"/>
  <c r="EG71" i="1"/>
  <c r="EH71" i="1"/>
  <c r="EI71" i="1"/>
  <c r="EJ71" i="1"/>
  <c r="EC70" i="1" l="1"/>
  <c r="ED70" i="1"/>
  <c r="EE70" i="1"/>
  <c r="EF70" i="1"/>
  <c r="EG70" i="1"/>
  <c r="EH70" i="1"/>
  <c r="EI70" i="1"/>
  <c r="EJ70" i="1"/>
  <c r="EG85" i="1" l="1"/>
  <c r="EE85" i="1"/>
  <c r="EF85" i="1"/>
  <c r="EJ85" i="1"/>
  <c r="EI85" i="1"/>
  <c r="EH85" i="1"/>
  <c r="ED85" i="1" l="1"/>
  <c r="EC21" i="1" l="1"/>
  <c r="EC8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tc={EFB9FC7D-43E0-41C1-A3FB-B72A604EF69D}</author>
    <author>tc={34C5765E-D083-4247-A090-4B3E14971B2D}</author>
    <author>tc={BED681FC-2C53-4E80-AC4A-70F6F872F7A2}</author>
  </authors>
  <commentList>
    <comment ref="BM20" authorId="0" shapeId="0" xr:uid="{EFB9FC7D-43E0-41C1-A3FB-B72A604EF6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Xác nhận lại công
</t>
      </text>
    </comment>
    <comment ref="BF26" authorId="1" shapeId="0" xr:uid="{34C5765E-D083-4247-A090-4B3E14971B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Xác nhận giờ tăng ca
</t>
      </text>
    </comment>
    <comment ref="AF73" authorId="2" shapeId="0" xr:uid="{BED681FC-2C53-4E80-AC4A-70F6F872F7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Thiếu 2h tăng ca xác nhận lại công
</t>
      </text>
    </comment>
  </commentList>
</comments>
</file>

<file path=xl/sharedStrings.xml><?xml version="1.0" encoding="utf-8"?>
<sst xmlns="http://schemas.openxmlformats.org/spreadsheetml/2006/main" count="838" uniqueCount="420">
  <si>
    <t>MST: 0201307104</t>
  </si>
  <si>
    <t>Tổng cộng</t>
  </si>
  <si>
    <t>Công ty Cổ phần Quốc tế Thương mại và Dịch vụ Việt Pháp</t>
  </si>
  <si>
    <t>Địa chỉ: Số 12 Lô 18D Lê Hồng Phong, P.Đằng Lâm, Q.Hải An, Hải Phòng</t>
  </si>
  <si>
    <t>STT</t>
  </si>
  <si>
    <t>Mã nhân viên</t>
  </si>
  <si>
    <t>Họ và tên</t>
  </si>
  <si>
    <t>Tổng hợp</t>
  </si>
  <si>
    <t>CN</t>
  </si>
  <si>
    <t>T2</t>
  </si>
  <si>
    <t>T7</t>
  </si>
  <si>
    <t>T5</t>
  </si>
  <si>
    <t>T6</t>
  </si>
  <si>
    <t>T3</t>
  </si>
  <si>
    <t>T4</t>
  </si>
  <si>
    <t>Tên</t>
  </si>
  <si>
    <t>ID</t>
  </si>
  <si>
    <t>Tên Ngân hàng</t>
  </si>
  <si>
    <t>Stk</t>
  </si>
  <si>
    <t>OT Đ</t>
  </si>
  <si>
    <t>CB Đ</t>
  </si>
  <si>
    <t>CB N</t>
  </si>
  <si>
    <t>OT N</t>
  </si>
  <si>
    <t>CN N</t>
  </si>
  <si>
    <t>CN Đ</t>
  </si>
  <si>
    <t>OT CN Đ</t>
  </si>
  <si>
    <t>OT CN N</t>
  </si>
  <si>
    <t>Bộ phận</t>
  </si>
  <si>
    <t>Tăng ca 2 - 2,5</t>
  </si>
  <si>
    <t>Tăng ca 3 - 4</t>
  </si>
  <si>
    <t>Tiền ăn tăng ca</t>
  </si>
  <si>
    <t>MSB</t>
  </si>
  <si>
    <t>DANH SÁCH STK NHÂN VIÊN DỰ ÁN</t>
  </si>
  <si>
    <t>Ghi chú</t>
  </si>
  <si>
    <t>MB</t>
  </si>
  <si>
    <t xml:space="preserve">CCCD </t>
  </si>
  <si>
    <t>036203011380</t>
  </si>
  <si>
    <t>Nguyễn Trung Hải</t>
  </si>
  <si>
    <t>Nguyễn Sỹ Hùng</t>
  </si>
  <si>
    <t>027202000029</t>
  </si>
  <si>
    <t>Ngày vào</t>
  </si>
  <si>
    <t>Ngày nghỉ</t>
  </si>
  <si>
    <t>9250167891011</t>
  </si>
  <si>
    <t>296608866</t>
  </si>
  <si>
    <t/>
  </si>
  <si>
    <t>031094015626</t>
  </si>
  <si>
    <t>Phạm Văn Khương</t>
  </si>
  <si>
    <t>Vietinbank</t>
  </si>
  <si>
    <t>Lò Văn Thuận</t>
  </si>
  <si>
    <t>Quàng Văn Sơn</t>
  </si>
  <si>
    <t>Nguyễn Thị Thanh Hiền</t>
  </si>
  <si>
    <t>Nhựa</t>
  </si>
  <si>
    <t>Lò Thị Trường</t>
  </si>
  <si>
    <t>Lò Văn An</t>
  </si>
  <si>
    <t>Lò Thị Hoạch</t>
  </si>
  <si>
    <t>011202006748</t>
  </si>
  <si>
    <t>011203008736</t>
  </si>
  <si>
    <t>031186011750</t>
  </si>
  <si>
    <t>014309004488</t>
  </si>
  <si>
    <t>014207002665</t>
  </si>
  <si>
    <t>014190012767</t>
  </si>
  <si>
    <t>0782256973</t>
  </si>
  <si>
    <t>VCB</t>
  </si>
  <si>
    <t>Hồ Sơ</t>
  </si>
  <si>
    <t>0354284496</t>
  </si>
  <si>
    <t>0702070061</t>
  </si>
  <si>
    <t>25011123335678</t>
  </si>
  <si>
    <t>0326769071</t>
  </si>
  <si>
    <t>Abbank</t>
  </si>
  <si>
    <t>101882769481</t>
  </si>
  <si>
    <t>0356755184</t>
  </si>
  <si>
    <t>Đinh Thị Tuyến</t>
  </si>
  <si>
    <t>Đinh Thị Khánh Nhi</t>
  </si>
  <si>
    <t>Đồng Xuân Tuấn Vũ</t>
  </si>
  <si>
    <t>Trần Thị Ngọc Thành</t>
  </si>
  <si>
    <t>031176000320</t>
  </si>
  <si>
    <t>044307009163</t>
  </si>
  <si>
    <t>038304026938</t>
  </si>
  <si>
    <t>62574823062007</t>
  </si>
  <si>
    <t>0368324193</t>
  </si>
  <si>
    <t>020054152</t>
  </si>
  <si>
    <t>VIB</t>
  </si>
  <si>
    <t>101877214855</t>
  </si>
  <si>
    <t>031097007895</t>
  </si>
  <si>
    <t>LV000103</t>
  </si>
  <si>
    <t>Đào Thị Tâm</t>
  </si>
  <si>
    <t>Phạm Thị Loan</t>
  </si>
  <si>
    <t>Cà Văn Hùng</t>
  </si>
  <si>
    <t>011206008170</t>
  </si>
  <si>
    <t>031177006601</t>
  </si>
  <si>
    <t>034176005982</t>
  </si>
  <si>
    <t>Tòng Văn Tuấn</t>
  </si>
  <si>
    <t>011207004509</t>
  </si>
  <si>
    <t>Cà Thị Thư</t>
  </si>
  <si>
    <t>011196002961</t>
  </si>
  <si>
    <t>Lò Ngọc Quyền</t>
  </si>
  <si>
    <t>011205003319</t>
  </si>
  <si>
    <t>Nguyễn Trọng Thắng</t>
  </si>
  <si>
    <t>040205013152</t>
  </si>
  <si>
    <t>Nguyễn Thị Thương</t>
  </si>
  <si>
    <t>040306009230</t>
  </si>
  <si>
    <t>Nguyễn Đình Huy</t>
  </si>
  <si>
    <t>031098003547</t>
  </si>
  <si>
    <t>011307007037</t>
  </si>
  <si>
    <t>Lò Thị Thươn</t>
  </si>
  <si>
    <t>Lò Thị Hương</t>
  </si>
  <si>
    <t>Vũ Văn Việt</t>
  </si>
  <si>
    <t>011307001003</t>
  </si>
  <si>
    <t>Cà Hiền Nương</t>
  </si>
  <si>
    <t>001207000263</t>
  </si>
  <si>
    <t>Lường Thị Phương</t>
  </si>
  <si>
    <t>Lường Thị Yến</t>
  </si>
  <si>
    <t>011307004081</t>
  </si>
  <si>
    <t>Lò Thì Dương</t>
  </si>
  <si>
    <t>011190001082</t>
  </si>
  <si>
    <t>Lù Thị Ngoan</t>
  </si>
  <si>
    <t>011304000314</t>
  </si>
  <si>
    <t>Lò Thị Hoàn</t>
  </si>
  <si>
    <t>031308015898</t>
  </si>
  <si>
    <t>Bùi Thị Minh Hà</t>
  </si>
  <si>
    <t>031204010447</t>
  </si>
  <si>
    <t>Bùi Trọng Hiệp</t>
  </si>
  <si>
    <t>031206019231</t>
  </si>
  <si>
    <t>Chu Ngọc Vỹ</t>
  </si>
  <si>
    <t>040201023553</t>
  </si>
  <si>
    <t>Kha Văn Định</t>
  </si>
  <si>
    <t>011307004617</t>
  </si>
  <si>
    <t>Lò Thị Doan</t>
  </si>
  <si>
    <t>011307003959</t>
  </si>
  <si>
    <t>Lò Thị Hiến</t>
  </si>
  <si>
    <t>011305002757</t>
  </si>
  <si>
    <t>Lò Thị Minh Thư</t>
  </si>
  <si>
    <t>040205022276</t>
  </si>
  <si>
    <t>Lô Văn Hảo</t>
  </si>
  <si>
    <t>011304001955</t>
  </si>
  <si>
    <t>Lường Thị Na</t>
  </si>
  <si>
    <t>011307008571</t>
  </si>
  <si>
    <t>011207001253</t>
  </si>
  <si>
    <t>Lường Văn Sơn</t>
  </si>
  <si>
    <t>011205002019</t>
  </si>
  <si>
    <t>Lường Văn Thưởng</t>
  </si>
  <si>
    <t>031205013403</t>
  </si>
  <si>
    <t>Nguyễn Tuấn Quang</t>
  </si>
  <si>
    <t>031303006224</t>
  </si>
  <si>
    <t>Nguyễn Thị Hoài Thu</t>
  </si>
  <si>
    <t>031307016828</t>
  </si>
  <si>
    <t>Nguyễn Thị Như Quỳnh</t>
  </si>
  <si>
    <t>031206017692</t>
  </si>
  <si>
    <t>Phạm Trần Nhất Long</t>
  </si>
  <si>
    <t>Phạm Trung Nguyên</t>
  </si>
  <si>
    <t>031204008916</t>
  </si>
  <si>
    <t>Phạm Văn Khánh</t>
  </si>
  <si>
    <t>011304005221</t>
  </si>
  <si>
    <t>Quàng Thị Hảo</t>
  </si>
  <si>
    <t>011307000397</t>
  </si>
  <si>
    <t>Tòng Thị Hương</t>
  </si>
  <si>
    <t>011204002004</t>
  </si>
  <si>
    <t>Tòng Văn Nam</t>
  </si>
  <si>
    <t>031306003338</t>
  </si>
  <si>
    <t>Trần Thị Thu Chang</t>
  </si>
  <si>
    <t>011305003834</t>
  </si>
  <si>
    <t>Vì Thị Chinh</t>
  </si>
  <si>
    <t>031204007920</t>
  </si>
  <si>
    <t>LV001092</t>
  </si>
  <si>
    <t>LV001021</t>
  </si>
  <si>
    <t>LV001022</t>
  </si>
  <si>
    <t>LV001020</t>
  </si>
  <si>
    <t>LV001012</t>
  </si>
  <si>
    <t>LV001013</t>
  </si>
  <si>
    <t>LV001017</t>
  </si>
  <si>
    <t>LV001019</t>
  </si>
  <si>
    <t>LV000925</t>
  </si>
  <si>
    <t>LV000924</t>
  </si>
  <si>
    <t>LV000919</t>
  </si>
  <si>
    <t>LV000920</t>
  </si>
  <si>
    <t>LV000922</t>
  </si>
  <si>
    <t>LV000926</t>
  </si>
  <si>
    <t>LV000773</t>
  </si>
  <si>
    <t>LV000738</t>
  </si>
  <si>
    <t>0328616469</t>
  </si>
  <si>
    <t>2812092007</t>
  </si>
  <si>
    <t>Techcombank</t>
  </si>
  <si>
    <t>Agribank</t>
  </si>
  <si>
    <t>0867429348</t>
  </si>
  <si>
    <t>1058935730</t>
  </si>
  <si>
    <t>101884285090</t>
  </si>
  <si>
    <t>0782495137</t>
  </si>
  <si>
    <t>0374987192</t>
  </si>
  <si>
    <t>109881898859</t>
  </si>
  <si>
    <t>19072765323012</t>
  </si>
  <si>
    <t>0387222814</t>
  </si>
  <si>
    <t>030099239359</t>
  </si>
  <si>
    <t>Sacombank</t>
  </si>
  <si>
    <t>104883783670</t>
  </si>
  <si>
    <t>030077862486</t>
  </si>
  <si>
    <t>0779360211</t>
  </si>
  <si>
    <t>61688683838386</t>
  </si>
  <si>
    <t>0359779427</t>
  </si>
  <si>
    <t>0968583926</t>
  </si>
  <si>
    <t>106884750781</t>
  </si>
  <si>
    <t>0869486923</t>
  </si>
  <si>
    <t>0868622042004</t>
  </si>
  <si>
    <t>102876231813</t>
  </si>
  <si>
    <t>686809092006</t>
  </si>
  <si>
    <t>Vpbank</t>
  </si>
  <si>
    <t>022578600001</t>
  </si>
  <si>
    <t>LP Bank</t>
  </si>
  <si>
    <t>32021567</t>
  </si>
  <si>
    <t>Á châu ACB</t>
  </si>
  <si>
    <t>8897799313</t>
  </si>
  <si>
    <t>BIDV</t>
  </si>
  <si>
    <t xml:space="preserve">MB </t>
  </si>
  <si>
    <t>0395696547</t>
  </si>
  <si>
    <t>2606205278863</t>
  </si>
  <si>
    <t>0384973008</t>
  </si>
  <si>
    <t>9789070742</t>
  </si>
  <si>
    <t>0365958018</t>
  </si>
  <si>
    <t>0904376658</t>
  </si>
  <si>
    <t>02001011846241</t>
  </si>
  <si>
    <t>26226012005</t>
  </si>
  <si>
    <t>030093668551</t>
  </si>
  <si>
    <t>9385912164</t>
  </si>
  <si>
    <t>80000197169</t>
  </si>
  <si>
    <t>1030241588</t>
  </si>
  <si>
    <t>0913795774</t>
  </si>
  <si>
    <t>1031455927</t>
  </si>
  <si>
    <t>0987195829</t>
  </si>
  <si>
    <t>0372813073</t>
  </si>
  <si>
    <t>Lò Thị Dương</t>
  </si>
  <si>
    <t>LV001103</t>
  </si>
  <si>
    <t>LV001109</t>
  </si>
  <si>
    <t>LV001106</t>
  </si>
  <si>
    <t>LV001085</t>
  </si>
  <si>
    <t>LV001098</t>
  </si>
  <si>
    <t>LV001099</t>
  </si>
  <si>
    <t>LV001100</t>
  </si>
  <si>
    <t>LV001102</t>
  </si>
  <si>
    <t>LV001104</t>
  </si>
  <si>
    <t>LV001080</t>
  </si>
  <si>
    <t>LV001116</t>
  </si>
  <si>
    <t>LV001091</t>
  </si>
  <si>
    <t>LV001114</t>
  </si>
  <si>
    <t>LV001097</t>
  </si>
  <si>
    <t>LV001111</t>
  </si>
  <si>
    <t>LV001084</t>
  </si>
  <si>
    <t>LV001081</t>
  </si>
  <si>
    <t>LV001083</t>
  </si>
  <si>
    <t>LV001110</t>
  </si>
  <si>
    <t>LV001093</t>
  </si>
  <si>
    <t>LV001113</t>
  </si>
  <si>
    <t>LV001088</t>
  </si>
  <si>
    <t>011306001243</t>
  </si>
  <si>
    <t>011307003149</t>
  </si>
  <si>
    <t>031208003032</t>
  </si>
  <si>
    <t>011307002229</t>
  </si>
  <si>
    <t>Cà Thị Dấn</t>
  </si>
  <si>
    <t>038200015310</t>
  </si>
  <si>
    <t>Hoàng Văn Tư</t>
  </si>
  <si>
    <t>011305000923</t>
  </si>
  <si>
    <t>Lò Kiều Linh</t>
  </si>
  <si>
    <t>011307002851</t>
  </si>
  <si>
    <t>Lò Thị Ánh Tuyết</t>
  </si>
  <si>
    <t>014306001095</t>
  </si>
  <si>
    <t>Lò Thị Chinh</t>
  </si>
  <si>
    <t>011307006145</t>
  </si>
  <si>
    <t>Lò Thị Dân</t>
  </si>
  <si>
    <t>011306008023</t>
  </si>
  <si>
    <t>Lường Quỳnh Oanh</t>
  </si>
  <si>
    <t>011204001877</t>
  </si>
  <si>
    <t>Lường Văn Cường</t>
  </si>
  <si>
    <t>044197000025</t>
  </si>
  <si>
    <t>Nguyễn Thị Hiền</t>
  </si>
  <si>
    <t>031208008066</t>
  </si>
  <si>
    <t>Nguyễn Văn Phong</t>
  </si>
  <si>
    <t>011307008590</t>
  </si>
  <si>
    <t>Quàng Thị Hà</t>
  </si>
  <si>
    <t>011307004104</t>
  </si>
  <si>
    <t>Tòng Thị Hằng</t>
  </si>
  <si>
    <t>011207007396</t>
  </si>
  <si>
    <t>Tòng Văn Hoàng</t>
  </si>
  <si>
    <t>031098001837</t>
  </si>
  <si>
    <t>Trịnh Văn Tuấn</t>
  </si>
  <si>
    <t>011307008549</t>
  </si>
  <si>
    <t>Vì Thị Hiền</t>
  </si>
  <si>
    <t>011204002230</t>
  </si>
  <si>
    <t>Vì Văn Sơn</t>
  </si>
  <si>
    <t>031207016981</t>
  </si>
  <si>
    <t>Vũ Văn Tú</t>
  </si>
  <si>
    <t>TV000191</t>
  </si>
  <si>
    <t>TV000604</t>
  </si>
  <si>
    <t>LV000234</t>
  </si>
  <si>
    <t>LV000235</t>
  </si>
  <si>
    <t>LV000091</t>
  </si>
  <si>
    <t>LV000092</t>
  </si>
  <si>
    <t>LV000094</t>
  </si>
  <si>
    <t>LV000382</t>
  </si>
  <si>
    <t>LV000384</t>
  </si>
  <si>
    <t>LV000385</t>
  </si>
  <si>
    <t>LV000741</t>
  </si>
  <si>
    <t>LV000774</t>
  </si>
  <si>
    <t>03</t>
  </si>
  <si>
    <t>04</t>
  </si>
  <si>
    <t>05</t>
  </si>
  <si>
    <t>08</t>
  </si>
  <si>
    <t>09</t>
  </si>
  <si>
    <t>11</t>
  </si>
  <si>
    <t>12</t>
  </si>
  <si>
    <t>13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</si>
  <si>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</si>
  <si>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</si>
  <si>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</si>
  <si>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</si>
  <si>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</si>
  <si>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</si>
  <si>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</si>
  <si>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</si>
  <si>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</si>
  <si>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</si>
  <si>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</si>
  <si>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</si>
  <si>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30</t>
  </si>
  <si>
    <t>31</t>
  </si>
  <si>
    <t>32</t>
  </si>
  <si>
    <t>33</t>
  </si>
  <si>
    <t>34</t>
  </si>
  <si>
    <t>36</t>
  </si>
  <si>
    <t>38</t>
  </si>
  <si>
    <t>39</t>
  </si>
  <si>
    <t>40</t>
  </si>
  <si>
    <t>43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</si>
  <si>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</si>
  <si>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</si>
  <si>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</si>
  <si>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</si>
  <si>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</si>
  <si>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</si>
  <si>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</si>
  <si>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</si>
  <si>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</si>
  <si>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</si>
  <si>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</si>
  <si>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</si>
  <si>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</si>
  <si>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</si>
  <si>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</si>
  <si>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</si>
  <si>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</si>
  <si>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</si>
  <si>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</si>
  <si>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</si>
  <si>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68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</si>
  <si>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</si>
  <si>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</si>
  <si>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</si>
  <si>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</si>
  <si>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</si>
  <si>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</si>
  <si>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</si>
  <si>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</si>
  <si>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</si>
  <si>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</si>
  <si>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</si>
  <si>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</si>
  <si>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</si>
  <si>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</si>
  <si>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</si>
  <si>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</si>
  <si>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</si>
  <si>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</si>
  <si>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LV001142</t>
  </si>
  <si>
    <t>LV001132</t>
  </si>
  <si>
    <t>LV001139</t>
  </si>
  <si>
    <t>LV001137</t>
  </si>
  <si>
    <t>LV001146</t>
  </si>
  <si>
    <t>LV001140</t>
  </si>
  <si>
    <t>LV001150</t>
  </si>
  <si>
    <t>LV001147</t>
  </si>
  <si>
    <t>LV001138</t>
  </si>
  <si>
    <t>LV001133</t>
  </si>
  <si>
    <t>LV001136</t>
  </si>
  <si>
    <t>LV001144</t>
  </si>
  <si>
    <t>LV001152</t>
  </si>
  <si>
    <t>LV001149</t>
  </si>
  <si>
    <t>LV001135</t>
  </si>
  <si>
    <t>LV001130</t>
  </si>
  <si>
    <t>LV001131</t>
  </si>
  <si>
    <t>quàng văn sơn</t>
  </si>
  <si>
    <t>nguyễn thị thanh hiền</t>
  </si>
  <si>
    <t>LV001000</t>
  </si>
  <si>
    <t>LV001096</t>
  </si>
  <si>
    <t>LV001105</t>
  </si>
  <si>
    <t>LV001107</t>
  </si>
  <si>
    <t>Hoàng Thị Ngọc Ánh</t>
  </si>
  <si>
    <t>Kho</t>
  </si>
  <si>
    <t>Kim Loại</t>
  </si>
  <si>
    <t>Kim loại</t>
  </si>
  <si>
    <t>Đóng gói</t>
  </si>
  <si>
    <t xml:space="preserve">Lắp ráp </t>
  </si>
  <si>
    <t>07</t>
  </si>
  <si>
    <t>37</t>
  </si>
  <si>
    <t>44</t>
  </si>
  <si>
    <t>031307013668</t>
  </si>
  <si>
    <t>888815043333</t>
  </si>
  <si>
    <t>1031020407</t>
  </si>
  <si>
    <t>0854728722</t>
  </si>
  <si>
    <t>1059793070</t>
  </si>
  <si>
    <t xml:space="preserve">1041477871 </t>
  </si>
  <si>
    <t>1059886616</t>
  </si>
  <si>
    <t>0854250922</t>
  </si>
  <si>
    <t>0397545138</t>
  </si>
  <si>
    <t>1065895450</t>
  </si>
  <si>
    <t>0396035602</t>
  </si>
  <si>
    <t>1038996815</t>
  </si>
  <si>
    <t>19075743721013</t>
  </si>
  <si>
    <t>105878069347</t>
  </si>
  <si>
    <t>0343320260</t>
  </si>
  <si>
    <t>0332760820</t>
  </si>
  <si>
    <t>3600934112</t>
  </si>
  <si>
    <t>030077675414</t>
  </si>
  <si>
    <t>56721012008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</si>
</sst>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[$-F800]dddd\,\ mmmm\ dd\,\ yyyy"/>
    <numFmt numFmtId="168" formatCode="_-* #,##0.0_-;\-* #,##0.0_-;_-* &quot;-&quot;??_-;_-@_-"/>
    <numFmt numFmtId="169" formatCode="dd"/>
    <numFmt numFmtId="170" formatCode="&quot;T&quot;General"/>
    <numFmt numFmtId="171" formatCode="0.0"/>
    <numFmt numFmtId="172" formatCode="_-* #,##0_-;\-* #,##0_-;_-* &quot;-&quot;??_-;_-@_-"/>
    <numFmt numFmtId="173" formatCode="[$-1010000]d/m/yyyy;@"/>
  </numFmts>
  <fonts count="23">
    <font>
      <sz val="11"/>
      <color rgb="FF000000"/>
      <name val="Arial"/>
      <charset val="134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2"/>
      <charset val="129"/>
    </font>
    <font>
      <sz val="10"/>
      <name val="Arial"/>
      <family val="2"/>
    </font>
    <font>
      <sz val="8"/>
      <name val="Arial"/>
      <family val="2"/>
      <charset val="163"/>
    </font>
    <font>
      <sz val="11"/>
      <color rgb="FF000000"/>
      <name val="Arial"/>
      <family val="2"/>
      <charset val="163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.VnTime"/>
      <family val="2"/>
    </font>
    <font>
      <sz val="12"/>
      <color theme="1"/>
      <name val="Times New Roman"/>
      <family val="2"/>
    </font>
    <font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新細明體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24"/>
      <name val="Times New Roman"/>
      <family val="1"/>
    </font>
    <font>
      <sz val="11"/>
      <color rgb="FF000000"/>
      <name val="Arial"/>
      <family val="2"/>
    </font>
    <font>
      <b/>
      <u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167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166" fontId="4" fillId="0" borderId="0" applyFont="0" applyFill="0" applyBorder="0" applyAlignment="0" applyProtection="0"/>
    <xf numFmtId="167" fontId="3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165" fontId="6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173" fontId="16" fillId="0" borderId="0">
      <alignment vertical="center"/>
    </xf>
    <xf numFmtId="164" fontId="21" fillId="0" borderId="0" applyFont="0" applyFill="0" applyBorder="0" applyAlignment="0" applyProtection="0"/>
  </cellStyleXfs>
  <cellXfs count="118">
    <xf numFmtId="0" fontId="0" fillId="0" borderId="0" xfId="0" applyAlignment="1">
      <alignment vertical="center"/>
    </xf>
    <xf numFmtId="0" fontId="15" fillId="2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72" fontId="8" fillId="2" borderId="1" xfId="8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15" fillId="2" borderId="0" xfId="0" applyNumberFormat="1" applyFont="1" applyFill="1"/>
    <xf numFmtId="0" fontId="8" fillId="3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7" fillId="2" borderId="1" xfId="0" quotePrefix="1" applyFont="1" applyFill="1" applyBorder="1"/>
    <xf numFmtId="0" fontId="7" fillId="2" borderId="1" xfId="0" applyFont="1" applyFill="1" applyBorder="1"/>
    <xf numFmtId="49" fontId="7" fillId="2" borderId="1" xfId="0" quotePrefix="1" applyNumberFormat="1" applyFont="1" applyFill="1" applyBorder="1"/>
    <xf numFmtId="0" fontId="14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168" fontId="7" fillId="8" borderId="1" xfId="8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168" fontId="7" fillId="4" borderId="1" xfId="8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center"/>
    </xf>
    <xf numFmtId="168" fontId="8" fillId="2" borderId="1" xfId="8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2" borderId="0" xfId="0" applyFont="1" applyFill="1"/>
    <xf numFmtId="0" fontId="14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2" borderId="0" xfId="0" applyNumberFormat="1" applyFont="1" applyFill="1" applyAlignment="1">
      <alignment vertical="center"/>
    </xf>
    <xf numFmtId="14" fontId="18" fillId="2" borderId="0" xfId="0" applyNumberFormat="1" applyFont="1" applyFill="1" applyAlignment="1">
      <alignment horizontal="center" vertical="center"/>
    </xf>
    <xf numFmtId="14" fontId="7" fillId="2" borderId="1" xfId="0" applyNumberFormat="1" applyFont="1" applyFill="1" applyBorder="1"/>
    <xf numFmtId="14" fontId="18" fillId="2" borderId="0" xfId="0" applyNumberFormat="1" applyFont="1" applyFill="1" applyAlignment="1">
      <alignment vertical="center"/>
    </xf>
    <xf numFmtId="0" fontId="15" fillId="0" borderId="1" xfId="0" quotePrefix="1" applyFont="1" applyBorder="1" applyAlignment="1">
      <alignment vertical="center"/>
    </xf>
    <xf numFmtId="171" fontId="7" fillId="9" borderId="1" xfId="0" applyNumberFormat="1" applyFont="1" applyFill="1" applyBorder="1" applyAlignment="1">
      <alignment horizontal="center" wrapText="1"/>
    </xf>
    <xf numFmtId="171" fontId="7" fillId="2" borderId="1" xfId="0" applyNumberFormat="1" applyFont="1" applyFill="1" applyBorder="1" applyAlignment="1">
      <alignment horizontal="center" wrapText="1"/>
    </xf>
    <xf numFmtId="49" fontId="8" fillId="7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9" fillId="2" borderId="1" xfId="0" applyFont="1" applyFill="1" applyBorder="1"/>
    <xf numFmtId="0" fontId="7" fillId="2" borderId="0" xfId="0" applyFont="1" applyFill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64" fontId="9" fillId="6" borderId="6" xfId="13" applyFont="1" applyFill="1" applyBorder="1" applyAlignment="1">
      <alignment horizontal="center" vertical="center" wrapText="1"/>
    </xf>
    <xf numFmtId="164" fontId="9" fillId="6" borderId="10" xfId="13" applyFont="1" applyFill="1" applyBorder="1" applyAlignment="1">
      <alignment horizontal="center" vertical="center" wrapText="1"/>
    </xf>
    <xf numFmtId="164" fontId="9" fillId="6" borderId="7" xfId="13" applyFont="1" applyFill="1" applyBorder="1" applyAlignment="1">
      <alignment horizontal="center" vertical="center" wrapText="1"/>
    </xf>
    <xf numFmtId="0" fontId="9" fillId="2" borderId="1" xfId="0" quotePrefix="1" applyFont="1" applyFill="1" applyBorder="1"/>
    <xf numFmtId="49" fontId="9" fillId="2" borderId="1" xfId="0" quotePrefix="1" applyNumberFormat="1" applyFont="1" applyFill="1" applyBorder="1"/>
    <xf numFmtId="49" fontId="7" fillId="9" borderId="1" xfId="0" quotePrefix="1" applyNumberFormat="1" applyFont="1" applyFill="1" applyBorder="1"/>
    <xf numFmtId="0" fontId="7" fillId="9" borderId="1" xfId="0" applyFont="1" applyFill="1" applyBorder="1"/>
    <xf numFmtId="49" fontId="7" fillId="4" borderId="1" xfId="0" applyNumberFormat="1" applyFont="1" applyFill="1" applyBorder="1" applyAlignment="1">
      <alignment horizontal="center" wrapText="1"/>
    </xf>
    <xf numFmtId="1" fontId="8" fillId="9" borderId="1" xfId="0" applyNumberFormat="1" applyFont="1" applyFill="1" applyBorder="1" applyAlignment="1">
      <alignment horizontal="center"/>
    </xf>
    <xf numFmtId="49" fontId="7" fillId="5" borderId="11" xfId="0" applyNumberFormat="1" applyFont="1" applyFill="1" applyBorder="1" applyAlignment="1">
      <alignment horizontal="center" wrapText="1"/>
    </xf>
    <xf numFmtId="49" fontId="7" fillId="5" borderId="12" xfId="0" applyNumberFormat="1" applyFont="1" applyFill="1" applyBorder="1" applyAlignment="1">
      <alignment horizontal="center" wrapText="1"/>
    </xf>
    <xf numFmtId="49" fontId="7" fillId="6" borderId="13" xfId="0" applyNumberFormat="1" applyFont="1" applyFill="1" applyBorder="1"/>
    <xf numFmtId="49" fontId="8" fillId="2" borderId="0" xfId="0" applyNumberFormat="1" applyFont="1" applyFill="1" applyAlignment="1">
      <alignment horizontal="center" vertical="center" wrapText="1"/>
    </xf>
    <xf numFmtId="49" fontId="15" fillId="2" borderId="0" xfId="0" applyNumberFormat="1" applyFont="1" applyFill="1" applyAlignment="1">
      <alignment vertical="center"/>
    </xf>
    <xf numFmtId="49" fontId="18" fillId="2" borderId="0" xfId="0" applyNumberFormat="1" applyFont="1" applyFill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wrapText="1"/>
    </xf>
    <xf numFmtId="0" fontId="7" fillId="9" borderId="1" xfId="0" quotePrefix="1" applyFont="1" applyFill="1" applyBorder="1"/>
    <xf numFmtId="0" fontId="9" fillId="9" borderId="1" xfId="0" applyFont="1" applyFill="1" applyBorder="1"/>
    <xf numFmtId="0" fontId="7" fillId="3" borderId="6" xfId="0" applyFont="1" applyFill="1" applyBorder="1"/>
    <xf numFmtId="0" fontId="7" fillId="3" borderId="10" xfId="0" applyFont="1" applyFill="1" applyBorder="1"/>
    <xf numFmtId="0" fontId="7" fillId="3" borderId="7" xfId="0" applyFont="1" applyFill="1" applyBorder="1"/>
    <xf numFmtId="0" fontId="15" fillId="2" borderId="1" xfId="0" applyFont="1" applyFill="1" applyBorder="1" applyAlignment="1">
      <alignment vertical="center"/>
    </xf>
    <xf numFmtId="0" fontId="22" fillId="9" borderId="1" xfId="0" applyFont="1" applyFill="1" applyBorder="1"/>
    <xf numFmtId="170" fontId="9" fillId="6" borderId="6" xfId="8" applyNumberFormat="1" applyFont="1" applyFill="1" applyBorder="1" applyAlignment="1">
      <alignment horizontal="center" vertical="center" wrapText="1"/>
    </xf>
    <xf numFmtId="170" fontId="9" fillId="6" borderId="10" xfId="8" applyNumberFormat="1" applyFont="1" applyFill="1" applyBorder="1" applyAlignment="1">
      <alignment horizontal="center" vertical="center" wrapText="1"/>
    </xf>
    <xf numFmtId="170" fontId="9" fillId="6" borderId="7" xfId="8" applyNumberFormat="1" applyFont="1" applyFill="1" applyBorder="1" applyAlignment="1">
      <alignment horizontal="center" vertical="center" wrapText="1"/>
    </xf>
    <xf numFmtId="169" fontId="8" fillId="5" borderId="6" xfId="0" applyNumberFormat="1" applyFont="1" applyFill="1" applyBorder="1" applyAlignment="1">
      <alignment horizontal="center" vertical="center" wrapText="1"/>
    </xf>
    <xf numFmtId="169" fontId="8" fillId="5" borderId="10" xfId="0" applyNumberFormat="1" applyFont="1" applyFill="1" applyBorder="1" applyAlignment="1">
      <alignment horizontal="center" vertical="center" wrapText="1"/>
    </xf>
    <xf numFmtId="169" fontId="8" fillId="5" borderId="7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/>
    <xf numFmtId="0" fontId="7" fillId="6" borderId="1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49" fontId="7" fillId="5" borderId="11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/>
    </xf>
    <xf numFmtId="14" fontId="7" fillId="4" borderId="11" xfId="0" applyNumberFormat="1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  <xf numFmtId="14" fontId="7" fillId="4" borderId="13" xfId="0" applyNumberFormat="1" applyFont="1" applyFill="1" applyBorder="1" applyAlignment="1">
      <alignment horizontal="center" vertical="center" wrapText="1"/>
    </xf>
    <xf numFmtId="14" fontId="7" fillId="5" borderId="11" xfId="0" applyNumberFormat="1" applyFont="1" applyFill="1" applyBorder="1" applyAlignment="1">
      <alignment vertical="center" wrapText="1"/>
    </xf>
    <xf numFmtId="14" fontId="7" fillId="5" borderId="12" xfId="0" applyNumberFormat="1" applyFont="1" applyFill="1" applyBorder="1" applyAlignment="1">
      <alignment vertical="center" wrapText="1"/>
    </xf>
    <xf numFmtId="14" fontId="7" fillId="5" borderId="13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</cellXfs>
  <cellStyles count="14">
    <cellStyle name="Comma" xfId="8" builtinId="3"/>
    <cellStyle name="Comma [0]" xfId="13" builtinId="6"/>
    <cellStyle name="Comma 2" xfId="4" xr:uid="{00000000-0005-0000-0000-000001000000}"/>
    <cellStyle name="Comma 6" xfId="1" xr:uid="{00000000-0005-0000-0000-000002000000}"/>
    <cellStyle name="Comma 7" xfId="5" xr:uid="{00000000-0005-0000-0000-000003000000}"/>
    <cellStyle name="Normal" xfId="0" builtinId="0"/>
    <cellStyle name="Normal 2" xfId="2" xr:uid="{00000000-0005-0000-0000-000005000000}"/>
    <cellStyle name="Normal 2 2" xfId="7" xr:uid="{00000000-0005-0000-0000-000006000000}"/>
    <cellStyle name="Normal 2 3" xfId="10" xr:uid="{00000000-0005-0000-0000-000007000000}"/>
    <cellStyle name="Normal 3" xfId="9" xr:uid="{00000000-0005-0000-0000-000008000000}"/>
    <cellStyle name="Normal 3 2" xfId="6" xr:uid="{00000000-0005-0000-0000-000009000000}"/>
    <cellStyle name="Normal 4" xfId="11" xr:uid="{00000000-0005-0000-0000-00000A000000}"/>
    <cellStyle name="Normal 7" xfId="3" xr:uid="{00000000-0005-0000-0000-00000B000000}"/>
    <cellStyle name="一般_LOVN出勤日報表  2014.3.10 2 3 3" xfId="12" xr:uid="{00000000-0005-0000-0000-00000C000000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ll" id="{9319EA28-1A50-4C86-A2C8-56ADDA87492C}" userId="Dell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M20" dT="2026-05-27T08:46:28.90" personId="{9319EA28-1A50-4C86-A2C8-56ADDA87492C}" id="{EFB9FC7D-43E0-41C1-A3FB-B72A604EF69D}">
    <text xml:space="preserve">Xác nhận lại công
</text>
  </threadedComment>
  <threadedComment ref="BF26" dT="2026-05-18T03:08:10.56" personId="{9319EA28-1A50-4C86-A2C8-56ADDA87492C}" id="{34C5765E-D083-4247-A090-4B3E14971B2D}">
    <text xml:space="preserve">Xác nhận giờ tăng ca
</text>
  </threadedComment>
  <threadedComment ref="AF73" dT="2026-06-10T04:59:11.09" personId="{9319EA28-1A50-4C86-A2C8-56ADDA87492C}" id="{BED681FC-2C53-4E80-AC4A-70F6F872F7A2}">
    <text xml:space="preserve">Thiếu 2h tăng ca xác nhận lại công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86"/>
  <sheetViews>
    <sheetView tabSelected="1" topLeftCell="A4" zoomScaleNormal="100" zoomScaleSheetLayoutView="70" workbookViewId="0">
      <pane xSplit="8" ySplit="7" topLeftCell="I11" activePane="bottomRight" state="frozen"/>
      <selection activeCell="A4" sqref="A4"/>
      <selection pane="topRight" activeCell="E4" sqref="E4"/>
      <selection pane="bottomLeft" activeCell="A11" sqref="A11"/>
      <selection pane="bottomRight" activeCell="U13" sqref="U13"/>
    </sheetView>
  </sheetViews>
  <sheetFormatPr baseColWidth="10" defaultColWidth="9" defaultRowHeight="15" customHeight="1"/>
  <cols>
    <col min="1" max="1" width="9" style="1" hidden="1" customWidth="1"/>
    <col min="2" max="2" width="9" style="73" customWidth="1"/>
    <col min="3" max="3" width="14.1640625" style="13" customWidth="1"/>
    <col min="4" max="4" width="14.83203125" style="13" customWidth="1"/>
    <col min="5" max="5" width="23.5" style="1" customWidth="1"/>
    <col min="6" max="6" width="15.33203125" style="46" hidden="1" customWidth="1"/>
    <col min="7" max="7" width="20.33203125" style="46" hidden="1" customWidth="1"/>
    <col min="8" max="8" width="13.1640625" style="1" customWidth="1"/>
    <col min="9" max="12" width="8.1640625" style="18" customWidth="1"/>
    <col min="13" max="36" width="8.1640625" style="1" customWidth="1"/>
    <col min="37" max="64" width="8.1640625" style="1" hidden="1" customWidth="1"/>
    <col min="65" max="120" width="8.5" style="1" hidden="1" customWidth="1"/>
    <col min="121" max="128" width="8.6640625" style="1" hidden="1" customWidth="1"/>
    <col min="129" max="132" width="7.83203125" style="1" hidden="1" customWidth="1"/>
    <col min="133" max="133" width="10.5" style="17" customWidth="1"/>
    <col min="134" max="134" width="9.1640625" style="17" customWidth="1"/>
    <col min="135" max="135" width="10.33203125" style="17" customWidth="1"/>
    <col min="136" max="140" width="7.5" style="17" customWidth="1"/>
    <col min="141" max="141" width="12.6640625" style="15" customWidth="1"/>
    <col min="142" max="142" width="10.33203125" style="15" customWidth="1"/>
    <col min="143" max="143" width="27.33203125" style="1" customWidth="1"/>
    <col min="144" max="16384" width="9" style="1"/>
  </cols>
  <sheetData>
    <row r="1" spans="1:143" ht="19.5" customHeight="1">
      <c r="A1" s="12"/>
      <c r="B1" s="72"/>
      <c r="H1" s="14" t="s">
        <v>2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5"/>
      <c r="CL1" s="15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</row>
    <row r="2" spans="1:143" ht="18.75" customHeight="1">
      <c r="H2" s="14" t="s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5"/>
      <c r="CL2" s="15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</row>
    <row r="3" spans="1:143" ht="19.5" customHeight="1">
      <c r="H3" s="14" t="s">
        <v>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5"/>
      <c r="CL3" s="15"/>
      <c r="CM3" s="16"/>
      <c r="CN3" s="16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</row>
    <row r="4" spans="1:143" ht="18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15"/>
      <c r="EF4" s="15"/>
      <c r="EG4" s="15"/>
      <c r="EH4" s="15"/>
      <c r="EI4" s="15"/>
      <c r="EJ4" s="15"/>
    </row>
    <row r="5" spans="1:143" ht="18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</row>
    <row r="6" spans="1:143" ht="4.5" customHeight="1">
      <c r="A6" s="21"/>
      <c r="B6" s="74"/>
      <c r="C6" s="22"/>
      <c r="D6" s="22"/>
      <c r="E6" s="21"/>
      <c r="F6" s="49"/>
      <c r="G6" s="47"/>
      <c r="H6" s="23"/>
      <c r="I6" s="56"/>
      <c r="J6" s="56"/>
      <c r="K6" s="56"/>
      <c r="L6" s="56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20"/>
      <c r="ED6" s="20"/>
      <c r="EE6" s="20"/>
      <c r="EF6" s="20"/>
      <c r="EG6" s="20"/>
      <c r="EH6" s="20"/>
      <c r="EI6" s="20"/>
      <c r="EJ6" s="20"/>
    </row>
    <row r="7" spans="1:143" ht="24.75" customHeight="1">
      <c r="A7" s="89" t="s">
        <v>4</v>
      </c>
      <c r="B7" s="104" t="s">
        <v>4</v>
      </c>
      <c r="C7" s="91" t="s">
        <v>5</v>
      </c>
      <c r="D7" s="69"/>
      <c r="E7" s="89" t="s">
        <v>6</v>
      </c>
      <c r="F7" s="111" t="s">
        <v>40</v>
      </c>
      <c r="G7" s="108" t="s">
        <v>41</v>
      </c>
      <c r="H7" s="89" t="s">
        <v>27</v>
      </c>
      <c r="I7" s="83" t="s">
        <v>9</v>
      </c>
      <c r="J7" s="84"/>
      <c r="K7" s="84"/>
      <c r="L7" s="85"/>
      <c r="M7" s="83" t="s">
        <v>13</v>
      </c>
      <c r="N7" s="84"/>
      <c r="O7" s="84"/>
      <c r="P7" s="85"/>
      <c r="Q7" s="83" t="s">
        <v>14</v>
      </c>
      <c r="R7" s="84"/>
      <c r="S7" s="84"/>
      <c r="T7" s="85"/>
      <c r="U7" s="83" t="s">
        <v>11</v>
      </c>
      <c r="V7" s="84"/>
      <c r="W7" s="84"/>
      <c r="X7" s="85"/>
      <c r="Y7" s="83" t="s">
        <v>12</v>
      </c>
      <c r="Z7" s="84"/>
      <c r="AA7" s="84"/>
      <c r="AB7" s="85"/>
      <c r="AC7" s="83" t="s">
        <v>10</v>
      </c>
      <c r="AD7" s="84"/>
      <c r="AE7" s="84"/>
      <c r="AF7" s="85"/>
      <c r="AG7" s="83" t="s">
        <v>8</v>
      </c>
      <c r="AH7" s="84"/>
      <c r="AI7" s="84"/>
      <c r="AJ7" s="85"/>
      <c r="AK7" s="86">
        <v>8</v>
      </c>
      <c r="AL7" s="87"/>
      <c r="AM7" s="87"/>
      <c r="AN7" s="88"/>
      <c r="AO7" s="86">
        <v>9</v>
      </c>
      <c r="AP7" s="87"/>
      <c r="AQ7" s="87"/>
      <c r="AR7" s="88"/>
      <c r="AS7" s="86">
        <v>10</v>
      </c>
      <c r="AT7" s="87"/>
      <c r="AU7" s="87"/>
      <c r="AV7" s="88"/>
      <c r="AW7" s="86">
        <v>11</v>
      </c>
      <c r="AX7" s="87"/>
      <c r="AY7" s="87"/>
      <c r="AZ7" s="88"/>
      <c r="BA7" s="86">
        <v>12</v>
      </c>
      <c r="BB7" s="87"/>
      <c r="BC7" s="87"/>
      <c r="BD7" s="88"/>
      <c r="BE7" s="86">
        <v>13</v>
      </c>
      <c r="BF7" s="87"/>
      <c r="BG7" s="87"/>
      <c r="BH7" s="88"/>
      <c r="BI7" s="86">
        <v>14</v>
      </c>
      <c r="BJ7" s="87"/>
      <c r="BK7" s="87"/>
      <c r="BL7" s="88"/>
      <c r="BM7" s="86">
        <v>15</v>
      </c>
      <c r="BN7" s="87"/>
      <c r="BO7" s="87"/>
      <c r="BP7" s="88"/>
      <c r="BQ7" s="86">
        <v>16</v>
      </c>
      <c r="BR7" s="87"/>
      <c r="BS7" s="87"/>
      <c r="BT7" s="88"/>
      <c r="BU7" s="86">
        <v>17</v>
      </c>
      <c r="BV7" s="87"/>
      <c r="BW7" s="87"/>
      <c r="BX7" s="88"/>
      <c r="BY7" s="86">
        <v>18</v>
      </c>
      <c r="BZ7" s="87"/>
      <c r="CA7" s="87"/>
      <c r="CB7" s="88"/>
      <c r="CC7" s="86">
        <v>19</v>
      </c>
      <c r="CD7" s="87"/>
      <c r="CE7" s="87"/>
      <c r="CF7" s="88"/>
      <c r="CG7" s="86">
        <v>20</v>
      </c>
      <c r="CH7" s="87"/>
      <c r="CI7" s="87"/>
      <c r="CJ7" s="88"/>
      <c r="CK7" s="86">
        <v>21</v>
      </c>
      <c r="CL7" s="87"/>
      <c r="CM7" s="87"/>
      <c r="CN7" s="88"/>
      <c r="CO7" s="86">
        <v>22</v>
      </c>
      <c r="CP7" s="87"/>
      <c r="CQ7" s="87"/>
      <c r="CR7" s="88"/>
      <c r="CS7" s="86">
        <v>23</v>
      </c>
      <c r="CT7" s="87"/>
      <c r="CU7" s="87"/>
      <c r="CV7" s="88"/>
      <c r="CW7" s="86">
        <v>24</v>
      </c>
      <c r="CX7" s="87"/>
      <c r="CY7" s="87"/>
      <c r="CZ7" s="88"/>
      <c r="DA7" s="86">
        <v>25</v>
      </c>
      <c r="DB7" s="87"/>
      <c r="DC7" s="87"/>
      <c r="DD7" s="88"/>
      <c r="DE7" s="86">
        <v>26</v>
      </c>
      <c r="DF7" s="87"/>
      <c r="DG7" s="87"/>
      <c r="DH7" s="88"/>
      <c r="DI7" s="86">
        <v>27</v>
      </c>
      <c r="DJ7" s="87"/>
      <c r="DK7" s="87"/>
      <c r="DL7" s="88"/>
      <c r="DM7" s="86">
        <v>28</v>
      </c>
      <c r="DN7" s="87"/>
      <c r="DO7" s="87"/>
      <c r="DP7" s="88"/>
      <c r="DQ7" s="86">
        <v>29</v>
      </c>
      <c r="DR7" s="87"/>
      <c r="DS7" s="87"/>
      <c r="DT7" s="88"/>
      <c r="DU7" s="86">
        <v>30</v>
      </c>
      <c r="DV7" s="87"/>
      <c r="DW7" s="87"/>
      <c r="DX7" s="88"/>
      <c r="DY7" s="86">
        <v>31</v>
      </c>
      <c r="DZ7" s="87"/>
      <c r="EA7" s="87"/>
      <c r="EB7" s="88"/>
      <c r="EC7" s="97" t="s">
        <v>7</v>
      </c>
      <c r="ED7" s="98"/>
      <c r="EE7" s="98"/>
      <c r="EF7" s="98"/>
      <c r="EG7" s="98"/>
      <c r="EH7" s="98"/>
      <c r="EI7" s="98"/>
      <c r="EJ7" s="99"/>
      <c r="EK7" s="103" t="s">
        <v>30</v>
      </c>
      <c r="EL7" s="103"/>
      <c r="EM7" s="94" t="s">
        <v>63</v>
      </c>
    </row>
    <row r="8" spans="1:143" ht="30" customHeight="1">
      <c r="A8" s="89"/>
      <c r="B8" s="105"/>
      <c r="C8" s="91"/>
      <c r="D8" s="70" t="s">
        <v>35</v>
      </c>
      <c r="E8" s="89"/>
      <c r="F8" s="112"/>
      <c r="G8" s="109"/>
      <c r="H8" s="89"/>
      <c r="I8" s="86">
        <v>1</v>
      </c>
      <c r="J8" s="87"/>
      <c r="K8" s="87"/>
      <c r="L8" s="88"/>
      <c r="M8" s="86">
        <v>2</v>
      </c>
      <c r="N8" s="87"/>
      <c r="O8" s="87"/>
      <c r="P8" s="88"/>
      <c r="Q8" s="86">
        <v>3</v>
      </c>
      <c r="R8" s="87"/>
      <c r="S8" s="87"/>
      <c r="T8" s="88"/>
      <c r="U8" s="86">
        <v>4</v>
      </c>
      <c r="V8" s="87"/>
      <c r="W8" s="87"/>
      <c r="X8" s="88"/>
      <c r="Y8" s="86">
        <v>5</v>
      </c>
      <c r="Z8" s="87"/>
      <c r="AA8" s="87"/>
      <c r="AB8" s="88"/>
      <c r="AC8" s="86">
        <v>6</v>
      </c>
      <c r="AD8" s="87"/>
      <c r="AE8" s="87"/>
      <c r="AF8" s="88"/>
      <c r="AG8" s="86">
        <v>7</v>
      </c>
      <c r="AH8" s="87"/>
      <c r="AI8" s="87"/>
      <c r="AJ8" s="88"/>
      <c r="AK8" s="83" t="s">
        <v>9</v>
      </c>
      <c r="AL8" s="84"/>
      <c r="AM8" s="84"/>
      <c r="AN8" s="85"/>
      <c r="AO8" s="83" t="s">
        <v>13</v>
      </c>
      <c r="AP8" s="84"/>
      <c r="AQ8" s="84"/>
      <c r="AR8" s="85"/>
      <c r="AS8" s="83" t="s">
        <v>14</v>
      </c>
      <c r="AT8" s="84"/>
      <c r="AU8" s="84"/>
      <c r="AV8" s="85"/>
      <c r="AW8" s="83" t="s">
        <v>11</v>
      </c>
      <c r="AX8" s="84"/>
      <c r="AY8" s="84"/>
      <c r="AZ8" s="85"/>
      <c r="BA8" s="83" t="s">
        <v>12</v>
      </c>
      <c r="BB8" s="84"/>
      <c r="BC8" s="84"/>
      <c r="BD8" s="85"/>
      <c r="BE8" s="83" t="s">
        <v>10</v>
      </c>
      <c r="BF8" s="84"/>
      <c r="BG8" s="84"/>
      <c r="BH8" s="85"/>
      <c r="BI8" s="83" t="s">
        <v>8</v>
      </c>
      <c r="BJ8" s="84"/>
      <c r="BK8" s="84"/>
      <c r="BL8" s="85"/>
      <c r="BM8" s="83" t="s">
        <v>9</v>
      </c>
      <c r="BN8" s="84"/>
      <c r="BO8" s="84"/>
      <c r="BP8" s="85"/>
      <c r="BQ8" s="83" t="s">
        <v>13</v>
      </c>
      <c r="BR8" s="84"/>
      <c r="BS8" s="84"/>
      <c r="BT8" s="85"/>
      <c r="BU8" s="83" t="s">
        <v>14</v>
      </c>
      <c r="BV8" s="84"/>
      <c r="BW8" s="84"/>
      <c r="BX8" s="85"/>
      <c r="BY8" s="83" t="s">
        <v>11</v>
      </c>
      <c r="BZ8" s="84"/>
      <c r="CA8" s="84"/>
      <c r="CB8" s="85"/>
      <c r="CC8" s="83" t="s">
        <v>12</v>
      </c>
      <c r="CD8" s="84"/>
      <c r="CE8" s="84"/>
      <c r="CF8" s="85"/>
      <c r="CG8" s="83" t="s">
        <v>10</v>
      </c>
      <c r="CH8" s="84"/>
      <c r="CI8" s="84"/>
      <c r="CJ8" s="85"/>
      <c r="CK8" s="83" t="s">
        <v>8</v>
      </c>
      <c r="CL8" s="84"/>
      <c r="CM8" s="84"/>
      <c r="CN8" s="85"/>
      <c r="CO8" s="83" t="s">
        <v>9</v>
      </c>
      <c r="CP8" s="84"/>
      <c r="CQ8" s="84"/>
      <c r="CR8" s="85"/>
      <c r="CS8" s="83" t="s">
        <v>13</v>
      </c>
      <c r="CT8" s="84"/>
      <c r="CU8" s="84"/>
      <c r="CV8" s="85"/>
      <c r="CW8" s="83" t="s">
        <v>14</v>
      </c>
      <c r="CX8" s="84"/>
      <c r="CY8" s="84"/>
      <c r="CZ8" s="85"/>
      <c r="DA8" s="83" t="s">
        <v>11</v>
      </c>
      <c r="DB8" s="84"/>
      <c r="DC8" s="84"/>
      <c r="DD8" s="85"/>
      <c r="DE8" s="83" t="s">
        <v>12</v>
      </c>
      <c r="DF8" s="84"/>
      <c r="DG8" s="84"/>
      <c r="DH8" s="85"/>
      <c r="DI8" s="83" t="s">
        <v>10</v>
      </c>
      <c r="DJ8" s="84"/>
      <c r="DK8" s="84"/>
      <c r="DL8" s="85"/>
      <c r="DM8" s="83" t="s">
        <v>8</v>
      </c>
      <c r="DN8" s="84"/>
      <c r="DO8" s="84"/>
      <c r="DP8" s="85"/>
      <c r="DQ8" s="83" t="s">
        <v>9</v>
      </c>
      <c r="DR8" s="84"/>
      <c r="DS8" s="84"/>
      <c r="DT8" s="85"/>
      <c r="DU8" s="83" t="s">
        <v>13</v>
      </c>
      <c r="DV8" s="84"/>
      <c r="DW8" s="84"/>
      <c r="DX8" s="85"/>
      <c r="DY8" s="83" t="s">
        <v>14</v>
      </c>
      <c r="DZ8" s="84"/>
      <c r="EA8" s="84"/>
      <c r="EB8" s="85"/>
      <c r="EC8" s="100"/>
      <c r="ED8" s="101"/>
      <c r="EE8" s="101"/>
      <c r="EF8" s="101"/>
      <c r="EG8" s="101"/>
      <c r="EH8" s="101"/>
      <c r="EI8" s="101"/>
      <c r="EJ8" s="102"/>
      <c r="EK8" s="11" t="s">
        <v>28</v>
      </c>
      <c r="EL8" s="11" t="s">
        <v>29</v>
      </c>
      <c r="EM8" s="95"/>
    </row>
    <row r="9" spans="1:143" ht="30" customHeight="1">
      <c r="A9" s="89"/>
      <c r="B9" s="105"/>
      <c r="C9" s="91"/>
      <c r="D9" s="70"/>
      <c r="E9" s="89"/>
      <c r="F9" s="112"/>
      <c r="G9" s="109"/>
      <c r="H9" s="89"/>
      <c r="I9" s="60">
        <v>36000</v>
      </c>
      <c r="J9" s="61">
        <v>54000</v>
      </c>
      <c r="K9" s="61">
        <v>46800</v>
      </c>
      <c r="L9" s="62">
        <v>75600</v>
      </c>
      <c r="M9" s="60">
        <v>36000</v>
      </c>
      <c r="N9" s="61">
        <v>54000</v>
      </c>
      <c r="O9" s="61">
        <v>46800</v>
      </c>
      <c r="P9" s="62">
        <v>75600</v>
      </c>
      <c r="Q9" s="60">
        <v>36000</v>
      </c>
      <c r="R9" s="61">
        <v>54000</v>
      </c>
      <c r="S9" s="61">
        <v>46800</v>
      </c>
      <c r="T9" s="62">
        <v>75600</v>
      </c>
      <c r="U9" s="60">
        <v>36000</v>
      </c>
      <c r="V9" s="61">
        <v>54000</v>
      </c>
      <c r="W9" s="61">
        <v>46800</v>
      </c>
      <c r="X9" s="62">
        <v>75600</v>
      </c>
      <c r="Y9" s="60">
        <v>36000</v>
      </c>
      <c r="Z9" s="61">
        <v>54000</v>
      </c>
      <c r="AA9" s="61">
        <v>46800</v>
      </c>
      <c r="AB9" s="62">
        <v>75600</v>
      </c>
      <c r="AC9" s="60">
        <v>36000</v>
      </c>
      <c r="AD9" s="61">
        <v>54000</v>
      </c>
      <c r="AE9" s="61">
        <v>46800</v>
      </c>
      <c r="AF9" s="62">
        <v>75600</v>
      </c>
      <c r="AG9" s="60">
        <v>72000</v>
      </c>
      <c r="AH9" s="61">
        <v>72000</v>
      </c>
      <c r="AI9" s="61">
        <v>97200</v>
      </c>
      <c r="AJ9" s="62">
        <v>72000</v>
      </c>
      <c r="AK9" s="60">
        <v>36000</v>
      </c>
      <c r="AL9" s="61">
        <v>54000</v>
      </c>
      <c r="AM9" s="61">
        <v>46800</v>
      </c>
      <c r="AN9" s="62">
        <v>75600</v>
      </c>
      <c r="AO9" s="60">
        <v>36000</v>
      </c>
      <c r="AP9" s="61">
        <v>54000</v>
      </c>
      <c r="AQ9" s="61">
        <v>46800</v>
      </c>
      <c r="AR9" s="62">
        <v>75600</v>
      </c>
      <c r="AS9" s="60">
        <v>36000</v>
      </c>
      <c r="AT9" s="61">
        <v>54000</v>
      </c>
      <c r="AU9" s="61">
        <v>46800</v>
      </c>
      <c r="AV9" s="62">
        <v>75600</v>
      </c>
      <c r="AW9" s="60">
        <v>36000</v>
      </c>
      <c r="AX9" s="61">
        <v>54000</v>
      </c>
      <c r="AY9" s="61">
        <v>46800</v>
      </c>
      <c r="AZ9" s="62">
        <v>75600</v>
      </c>
      <c r="BA9" s="60">
        <v>36000</v>
      </c>
      <c r="BB9" s="61">
        <v>54000</v>
      </c>
      <c r="BC9" s="61">
        <v>46800</v>
      </c>
      <c r="BD9" s="62">
        <v>75600</v>
      </c>
      <c r="BE9" s="60">
        <v>36000</v>
      </c>
      <c r="BF9" s="61">
        <v>54000</v>
      </c>
      <c r="BG9" s="61">
        <v>46800</v>
      </c>
      <c r="BH9" s="62">
        <v>75600</v>
      </c>
      <c r="BI9" s="60">
        <v>72000</v>
      </c>
      <c r="BJ9" s="61">
        <v>72000</v>
      </c>
      <c r="BK9" s="61">
        <v>97200</v>
      </c>
      <c r="BL9" s="62">
        <v>72000</v>
      </c>
      <c r="BM9" s="60">
        <v>36000</v>
      </c>
      <c r="BN9" s="61">
        <v>54000</v>
      </c>
      <c r="BO9" s="61">
        <v>46800</v>
      </c>
      <c r="BP9" s="62">
        <v>75600</v>
      </c>
      <c r="BQ9" s="60">
        <v>36000</v>
      </c>
      <c r="BR9" s="61">
        <v>54000</v>
      </c>
      <c r="BS9" s="61">
        <v>46800</v>
      </c>
      <c r="BT9" s="62">
        <v>75600</v>
      </c>
      <c r="BU9" s="60">
        <v>36000</v>
      </c>
      <c r="BV9" s="61">
        <v>54000</v>
      </c>
      <c r="BW9" s="61">
        <v>46800</v>
      </c>
      <c r="BX9" s="62">
        <v>75600</v>
      </c>
      <c r="BY9" s="60">
        <v>36000</v>
      </c>
      <c r="BZ9" s="61">
        <v>54000</v>
      </c>
      <c r="CA9" s="61">
        <v>46800</v>
      </c>
      <c r="CB9" s="62">
        <v>75600</v>
      </c>
      <c r="CC9" s="60">
        <v>36000</v>
      </c>
      <c r="CD9" s="61">
        <v>54000</v>
      </c>
      <c r="CE9" s="61">
        <v>46800</v>
      </c>
      <c r="CF9" s="62">
        <v>75600</v>
      </c>
      <c r="CG9" s="60">
        <v>36000</v>
      </c>
      <c r="CH9" s="61">
        <v>54000</v>
      </c>
      <c r="CI9" s="61">
        <v>46800</v>
      </c>
      <c r="CJ9" s="62">
        <v>75600</v>
      </c>
      <c r="CK9" s="60">
        <v>72000</v>
      </c>
      <c r="CL9" s="61">
        <v>72000</v>
      </c>
      <c r="CM9" s="61">
        <v>97200</v>
      </c>
      <c r="CN9" s="62">
        <v>72000</v>
      </c>
      <c r="CO9" s="60">
        <v>36000</v>
      </c>
      <c r="CP9" s="61">
        <v>54000</v>
      </c>
      <c r="CQ9" s="61">
        <v>46800</v>
      </c>
      <c r="CR9" s="62">
        <v>75600</v>
      </c>
      <c r="CS9" s="60">
        <v>36000</v>
      </c>
      <c r="CT9" s="61">
        <v>54000</v>
      </c>
      <c r="CU9" s="61">
        <v>46800</v>
      </c>
      <c r="CV9" s="62">
        <v>75600</v>
      </c>
      <c r="CW9" s="60">
        <v>36000</v>
      </c>
      <c r="CX9" s="61">
        <v>54000</v>
      </c>
      <c r="CY9" s="61">
        <v>46800</v>
      </c>
      <c r="CZ9" s="62">
        <v>75600</v>
      </c>
      <c r="DA9" s="60">
        <v>36000</v>
      </c>
      <c r="DB9" s="61">
        <v>54000</v>
      </c>
      <c r="DC9" s="61">
        <v>46800</v>
      </c>
      <c r="DD9" s="62">
        <v>75600</v>
      </c>
      <c r="DE9" s="60">
        <v>36000</v>
      </c>
      <c r="DF9" s="61">
        <v>54000</v>
      </c>
      <c r="DG9" s="61">
        <v>46800</v>
      </c>
      <c r="DH9" s="62">
        <v>75600</v>
      </c>
      <c r="DI9" s="60">
        <v>36000</v>
      </c>
      <c r="DJ9" s="61">
        <v>54000</v>
      </c>
      <c r="DK9" s="61">
        <v>46800</v>
      </c>
      <c r="DL9" s="62">
        <v>75600</v>
      </c>
      <c r="DM9" s="60">
        <v>72000</v>
      </c>
      <c r="DN9" s="61">
        <v>72000</v>
      </c>
      <c r="DO9" s="61">
        <v>97200</v>
      </c>
      <c r="DP9" s="62">
        <v>72000</v>
      </c>
      <c r="DQ9" s="60">
        <v>36000</v>
      </c>
      <c r="DR9" s="61">
        <v>54000</v>
      </c>
      <c r="DS9" s="61">
        <v>46800</v>
      </c>
      <c r="DT9" s="62">
        <v>75600</v>
      </c>
      <c r="DU9" s="60">
        <v>36000</v>
      </c>
      <c r="DV9" s="61">
        <v>54000</v>
      </c>
      <c r="DW9" s="61">
        <v>46800</v>
      </c>
      <c r="DX9" s="62">
        <v>75600</v>
      </c>
      <c r="DY9" s="60">
        <v>36000</v>
      </c>
      <c r="DZ9" s="61">
        <v>54000</v>
      </c>
      <c r="EA9" s="61">
        <v>46800</v>
      </c>
      <c r="EB9" s="62">
        <v>75600</v>
      </c>
      <c r="EC9" s="57"/>
      <c r="ED9" s="58"/>
      <c r="EE9" s="58"/>
      <c r="EF9" s="58"/>
      <c r="EG9" s="58"/>
      <c r="EH9" s="58"/>
      <c r="EI9" s="58"/>
      <c r="EJ9" s="59"/>
      <c r="EK9" s="11"/>
      <c r="EL9" s="11"/>
      <c r="EM9" s="95"/>
    </row>
    <row r="10" spans="1:143" ht="29.5" customHeight="1">
      <c r="A10" s="89"/>
      <c r="B10" s="106"/>
      <c r="C10" s="92"/>
      <c r="D10" s="71"/>
      <c r="E10" s="93"/>
      <c r="F10" s="113"/>
      <c r="G10" s="110"/>
      <c r="H10" s="93"/>
      <c r="I10" s="8" t="s">
        <v>21</v>
      </c>
      <c r="J10" s="8" t="s">
        <v>22</v>
      </c>
      <c r="K10" s="8" t="s">
        <v>20</v>
      </c>
      <c r="L10" s="8" t="s">
        <v>19</v>
      </c>
      <c r="M10" s="8" t="s">
        <v>21</v>
      </c>
      <c r="N10" s="8" t="s">
        <v>22</v>
      </c>
      <c r="O10" s="8" t="s">
        <v>20</v>
      </c>
      <c r="P10" s="8" t="s">
        <v>19</v>
      </c>
      <c r="Q10" s="8" t="s">
        <v>21</v>
      </c>
      <c r="R10" s="8" t="s">
        <v>22</v>
      </c>
      <c r="S10" s="8" t="s">
        <v>20</v>
      </c>
      <c r="T10" s="8" t="s">
        <v>19</v>
      </c>
      <c r="U10" s="8" t="s">
        <v>21</v>
      </c>
      <c r="V10" s="8" t="s">
        <v>22</v>
      </c>
      <c r="W10" s="8" t="s">
        <v>20</v>
      </c>
      <c r="X10" s="8" t="s">
        <v>19</v>
      </c>
      <c r="Y10" s="8" t="s">
        <v>21</v>
      </c>
      <c r="Z10" s="8" t="s">
        <v>22</v>
      </c>
      <c r="AA10" s="8" t="s">
        <v>20</v>
      </c>
      <c r="AB10" s="8" t="s">
        <v>19</v>
      </c>
      <c r="AC10" s="8" t="s">
        <v>21</v>
      </c>
      <c r="AD10" s="8" t="s">
        <v>22</v>
      </c>
      <c r="AE10" s="8" t="s">
        <v>20</v>
      </c>
      <c r="AF10" s="8" t="s">
        <v>19</v>
      </c>
      <c r="AG10" s="44" t="s">
        <v>23</v>
      </c>
      <c r="AH10" s="44" t="s">
        <v>26</v>
      </c>
      <c r="AI10" s="44" t="s">
        <v>24</v>
      </c>
      <c r="AJ10" s="44" t="s">
        <v>25</v>
      </c>
      <c r="AK10" s="8" t="s">
        <v>21</v>
      </c>
      <c r="AL10" s="8" t="s">
        <v>22</v>
      </c>
      <c r="AM10" s="8" t="s">
        <v>20</v>
      </c>
      <c r="AN10" s="8" t="s">
        <v>19</v>
      </c>
      <c r="AO10" s="8" t="s">
        <v>21</v>
      </c>
      <c r="AP10" s="8" t="s">
        <v>22</v>
      </c>
      <c r="AQ10" s="8" t="s">
        <v>20</v>
      </c>
      <c r="AR10" s="8" t="s">
        <v>19</v>
      </c>
      <c r="AS10" s="8" t="s">
        <v>21</v>
      </c>
      <c r="AT10" s="8" t="s">
        <v>22</v>
      </c>
      <c r="AU10" s="8" t="s">
        <v>20</v>
      </c>
      <c r="AV10" s="8" t="s">
        <v>19</v>
      </c>
      <c r="AW10" s="8" t="s">
        <v>21</v>
      </c>
      <c r="AX10" s="8" t="s">
        <v>22</v>
      </c>
      <c r="AY10" s="8" t="s">
        <v>20</v>
      </c>
      <c r="AZ10" s="8" t="s">
        <v>19</v>
      </c>
      <c r="BA10" s="8" t="s">
        <v>21</v>
      </c>
      <c r="BB10" s="8" t="s">
        <v>22</v>
      </c>
      <c r="BC10" s="8" t="s">
        <v>20</v>
      </c>
      <c r="BD10" s="8" t="s">
        <v>19</v>
      </c>
      <c r="BE10" s="8" t="s">
        <v>21</v>
      </c>
      <c r="BF10" s="8" t="s">
        <v>22</v>
      </c>
      <c r="BG10" s="8" t="s">
        <v>20</v>
      </c>
      <c r="BH10" s="8" t="s">
        <v>19</v>
      </c>
      <c r="BI10" s="44" t="s">
        <v>23</v>
      </c>
      <c r="BJ10" s="44" t="s">
        <v>26</v>
      </c>
      <c r="BK10" s="44" t="s">
        <v>24</v>
      </c>
      <c r="BL10" s="44" t="s">
        <v>25</v>
      </c>
      <c r="BM10" s="8" t="s">
        <v>21</v>
      </c>
      <c r="BN10" s="8" t="s">
        <v>22</v>
      </c>
      <c r="BO10" s="8" t="s">
        <v>20</v>
      </c>
      <c r="BP10" s="8" t="s">
        <v>19</v>
      </c>
      <c r="BQ10" s="8" t="s">
        <v>21</v>
      </c>
      <c r="BR10" s="8" t="s">
        <v>22</v>
      </c>
      <c r="BS10" s="8" t="s">
        <v>20</v>
      </c>
      <c r="BT10" s="8" t="s">
        <v>19</v>
      </c>
      <c r="BU10" s="8" t="s">
        <v>21</v>
      </c>
      <c r="BV10" s="8" t="s">
        <v>22</v>
      </c>
      <c r="BW10" s="8" t="s">
        <v>20</v>
      </c>
      <c r="BX10" s="8" t="s">
        <v>19</v>
      </c>
      <c r="BY10" s="8" t="s">
        <v>21</v>
      </c>
      <c r="BZ10" s="8" t="s">
        <v>22</v>
      </c>
      <c r="CA10" s="8" t="s">
        <v>20</v>
      </c>
      <c r="CB10" s="8" t="s">
        <v>19</v>
      </c>
      <c r="CC10" s="8" t="s">
        <v>21</v>
      </c>
      <c r="CD10" s="8" t="s">
        <v>22</v>
      </c>
      <c r="CE10" s="8" t="s">
        <v>20</v>
      </c>
      <c r="CF10" s="8" t="s">
        <v>19</v>
      </c>
      <c r="CG10" s="8" t="s">
        <v>21</v>
      </c>
      <c r="CH10" s="8" t="s">
        <v>22</v>
      </c>
      <c r="CI10" s="8" t="s">
        <v>20</v>
      </c>
      <c r="CJ10" s="8" t="s">
        <v>19</v>
      </c>
      <c r="CK10" s="44" t="s">
        <v>23</v>
      </c>
      <c r="CL10" s="44" t="s">
        <v>26</v>
      </c>
      <c r="CM10" s="44" t="s">
        <v>24</v>
      </c>
      <c r="CN10" s="44" t="s">
        <v>25</v>
      </c>
      <c r="CO10" s="8" t="s">
        <v>21</v>
      </c>
      <c r="CP10" s="8" t="s">
        <v>22</v>
      </c>
      <c r="CQ10" s="8" t="s">
        <v>20</v>
      </c>
      <c r="CR10" s="8" t="s">
        <v>19</v>
      </c>
      <c r="CS10" s="8" t="s">
        <v>21</v>
      </c>
      <c r="CT10" s="8" t="s">
        <v>22</v>
      </c>
      <c r="CU10" s="8" t="s">
        <v>20</v>
      </c>
      <c r="CV10" s="8" t="s">
        <v>19</v>
      </c>
      <c r="CW10" s="8" t="s">
        <v>21</v>
      </c>
      <c r="CX10" s="8" t="s">
        <v>22</v>
      </c>
      <c r="CY10" s="8" t="s">
        <v>20</v>
      </c>
      <c r="CZ10" s="8" t="s">
        <v>19</v>
      </c>
      <c r="DA10" s="8" t="s">
        <v>21</v>
      </c>
      <c r="DB10" s="8" t="s">
        <v>22</v>
      </c>
      <c r="DC10" s="8" t="s">
        <v>20</v>
      </c>
      <c r="DD10" s="8" t="s">
        <v>19</v>
      </c>
      <c r="DE10" s="8" t="s">
        <v>21</v>
      </c>
      <c r="DF10" s="8" t="s">
        <v>22</v>
      </c>
      <c r="DG10" s="8" t="s">
        <v>20</v>
      </c>
      <c r="DH10" s="8" t="s">
        <v>19</v>
      </c>
      <c r="DI10" s="8" t="s">
        <v>21</v>
      </c>
      <c r="DJ10" s="8" t="s">
        <v>22</v>
      </c>
      <c r="DK10" s="8" t="s">
        <v>20</v>
      </c>
      <c r="DL10" s="8" t="s">
        <v>19</v>
      </c>
      <c r="DM10" s="44" t="s">
        <v>23</v>
      </c>
      <c r="DN10" s="44" t="s">
        <v>26</v>
      </c>
      <c r="DO10" s="44" t="s">
        <v>24</v>
      </c>
      <c r="DP10" s="44" t="s">
        <v>25</v>
      </c>
      <c r="DQ10" s="8" t="s">
        <v>21</v>
      </c>
      <c r="DR10" s="8" t="s">
        <v>22</v>
      </c>
      <c r="DS10" s="8" t="s">
        <v>20</v>
      </c>
      <c r="DT10" s="8" t="s">
        <v>19</v>
      </c>
      <c r="DU10" s="8" t="s">
        <v>21</v>
      </c>
      <c r="DV10" s="8" t="s">
        <v>22</v>
      </c>
      <c r="DW10" s="8" t="s">
        <v>20</v>
      </c>
      <c r="DX10" s="8" t="s">
        <v>19</v>
      </c>
      <c r="DY10" s="8" t="s">
        <v>21</v>
      </c>
      <c r="DZ10" s="8" t="s">
        <v>22</v>
      </c>
      <c r="EA10" s="8" t="s">
        <v>20</v>
      </c>
      <c r="EB10" s="8" t="s">
        <v>19</v>
      </c>
      <c r="EC10" s="8" t="s">
        <v>21</v>
      </c>
      <c r="ED10" s="8" t="s">
        <v>22</v>
      </c>
      <c r="EE10" s="8" t="s">
        <v>20</v>
      </c>
      <c r="EF10" s="8" t="s">
        <v>19</v>
      </c>
      <c r="EG10" s="8" t="s">
        <v>23</v>
      </c>
      <c r="EH10" s="8" t="s">
        <v>26</v>
      </c>
      <c r="EI10" s="8" t="s">
        <v>24</v>
      </c>
      <c r="EJ10" s="8" t="s">
        <v>25</v>
      </c>
      <c r="EK10" s="7">
        <v>12000</v>
      </c>
      <c r="EL10" s="7">
        <v>20000</v>
      </c>
      <c r="EM10" s="96"/>
    </row>
    <row r="11" spans="1:143" s="19" customFormat="1" ht="30" customHeight="1">
      <c r="A11" s="30"/>
      <c r="B11" s="67" t="s">
        <v>300</v>
      </c>
      <c r="C11" s="24" t="s">
        <v>241</v>
      </c>
      <c r="D11" s="26" t="s">
        <v>147</v>
      </c>
      <c r="E11" s="66" t="s">
        <v>148</v>
      </c>
      <c r="F11" s="48">
        <v>46169</v>
      </c>
      <c r="G11" s="48"/>
      <c r="H11" s="31" t="s">
        <v>396</v>
      </c>
      <c r="I11" s="52">
        <v>8</v>
      </c>
      <c r="J11" s="52">
        <v>3</v>
      </c>
      <c r="K11" s="52"/>
      <c r="L11" s="52"/>
      <c r="M11" s="52">
        <v>8</v>
      </c>
      <c r="N11" s="52">
        <v>3</v>
      </c>
      <c r="O11" s="52"/>
      <c r="P11" s="52"/>
      <c r="Q11" s="52">
        <v>8</v>
      </c>
      <c r="R11" s="52">
        <v>3</v>
      </c>
      <c r="S11" s="52"/>
      <c r="T11" s="52"/>
      <c r="U11" s="52">
        <v>7.5</v>
      </c>
      <c r="V11" s="52">
        <v>3</v>
      </c>
      <c r="W11" s="52"/>
      <c r="X11" s="52"/>
      <c r="Y11" s="52">
        <v>8</v>
      </c>
      <c r="Z11" s="52">
        <v>3</v>
      </c>
      <c r="AA11" s="52"/>
      <c r="AB11" s="52"/>
      <c r="AC11" s="52">
        <v>8</v>
      </c>
      <c r="AD11" s="52">
        <v>3</v>
      </c>
      <c r="AE11" s="52"/>
      <c r="AF11" s="52"/>
      <c r="AG11" s="51"/>
      <c r="AH11" s="51"/>
      <c r="AI11" s="51"/>
      <c r="AJ11" s="51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1"/>
      <c r="BJ11" s="51"/>
      <c r="BK11" s="51"/>
      <c r="BL11" s="51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1"/>
      <c r="CL11" s="51"/>
      <c r="CM11" s="51"/>
      <c r="CN11" s="51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1"/>
      <c r="DN11" s="51"/>
      <c r="DO11" s="51"/>
      <c r="DP11" s="51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34">
        <f t="shared" ref="EC11:EC34" si="0">SUMIF($I$10:$EB$10,$EC$10,I11:EB11)</f>
        <v>47.5</v>
      </c>
      <c r="ED11" s="34">
        <f t="shared" ref="ED11:ED44" si="1">SUMIF($I$10:$EB$10,$ED$10,I11:EB11)</f>
        <v>18</v>
      </c>
      <c r="EE11" s="34">
        <f t="shared" ref="EE11:EE34" si="2">SUMIF($I$10:$EB$10,$EE$10,I11:EB11)</f>
        <v>0</v>
      </c>
      <c r="EF11" s="34">
        <f t="shared" ref="EF11:EF34" si="3">SUMIF($I$10:$EB$10,$EF$10,I11:EB11)</f>
        <v>0</v>
      </c>
      <c r="EG11" s="32">
        <f t="shared" ref="EG11:EJ24" si="4">SUMIF($I$10:$EB$10,EG$10,$I11:$EB11)</f>
        <v>0</v>
      </c>
      <c r="EH11" s="32">
        <f t="shared" si="4"/>
        <v>0</v>
      </c>
      <c r="EI11" s="32">
        <f t="shared" si="4"/>
        <v>0</v>
      </c>
      <c r="EJ11" s="32">
        <f t="shared" si="4"/>
        <v>0</v>
      </c>
      <c r="EK11" s="33"/>
      <c r="EL11" s="33"/>
      <c r="EM11" s="25"/>
    </row>
    <row r="12" spans="1:143" s="19" customFormat="1" ht="30" customHeight="1">
      <c r="A12" s="30"/>
      <c r="B12" s="67" t="s">
        <v>301</v>
      </c>
      <c r="C12" s="24" t="s">
        <v>239</v>
      </c>
      <c r="D12" s="26" t="s">
        <v>141</v>
      </c>
      <c r="E12" s="66" t="s">
        <v>142</v>
      </c>
      <c r="F12" s="48">
        <v>46169</v>
      </c>
      <c r="G12" s="48"/>
      <c r="H12" s="31" t="s">
        <v>396</v>
      </c>
      <c r="I12" s="52">
        <v>8</v>
      </c>
      <c r="J12" s="52">
        <v>3</v>
      </c>
      <c r="K12" s="52"/>
      <c r="L12" s="52"/>
      <c r="M12" s="52">
        <v>8</v>
      </c>
      <c r="N12" s="52">
        <v>3</v>
      </c>
      <c r="O12" s="52"/>
      <c r="P12" s="52"/>
      <c r="Q12" s="52">
        <v>8</v>
      </c>
      <c r="R12" s="52">
        <v>3</v>
      </c>
      <c r="S12" s="52"/>
      <c r="T12" s="52"/>
      <c r="U12" s="52">
        <v>8</v>
      </c>
      <c r="V12" s="52">
        <v>3</v>
      </c>
      <c r="W12" s="52"/>
      <c r="X12" s="52"/>
      <c r="Y12" s="52">
        <v>8</v>
      </c>
      <c r="Z12" s="52">
        <v>3</v>
      </c>
      <c r="AA12" s="52"/>
      <c r="AB12" s="52"/>
      <c r="AC12" s="52">
        <v>8</v>
      </c>
      <c r="AD12" s="52">
        <v>3</v>
      </c>
      <c r="AE12" s="52"/>
      <c r="AF12" s="52"/>
      <c r="AG12" s="51"/>
      <c r="AH12" s="51"/>
      <c r="AI12" s="51"/>
      <c r="AJ12" s="51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1"/>
      <c r="BJ12" s="51"/>
      <c r="BK12" s="51"/>
      <c r="BL12" s="51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1"/>
      <c r="CL12" s="51"/>
      <c r="CM12" s="51"/>
      <c r="CN12" s="51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1"/>
      <c r="DN12" s="51"/>
      <c r="DO12" s="51"/>
      <c r="DP12" s="51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34">
        <f t="shared" si="0"/>
        <v>48</v>
      </c>
      <c r="ED12" s="34">
        <f t="shared" si="1"/>
        <v>18</v>
      </c>
      <c r="EE12" s="34">
        <f t="shared" si="2"/>
        <v>0</v>
      </c>
      <c r="EF12" s="34">
        <f t="shared" si="3"/>
        <v>0</v>
      </c>
      <c r="EG12" s="32">
        <f t="shared" si="4"/>
        <v>0</v>
      </c>
      <c r="EH12" s="32">
        <f t="shared" si="4"/>
        <v>0</v>
      </c>
      <c r="EI12" s="32">
        <f t="shared" si="4"/>
        <v>0</v>
      </c>
      <c r="EJ12" s="32">
        <f t="shared" si="4"/>
        <v>0</v>
      </c>
      <c r="EK12" s="33"/>
      <c r="EL12" s="33"/>
      <c r="EM12" s="25"/>
    </row>
    <row r="13" spans="1:143" s="19" customFormat="1" ht="30" customHeight="1">
      <c r="A13" s="30"/>
      <c r="B13" s="67" t="s">
        <v>302</v>
      </c>
      <c r="C13" s="24" t="s">
        <v>243</v>
      </c>
      <c r="D13" s="26" t="s">
        <v>150</v>
      </c>
      <c r="E13" s="66" t="s">
        <v>151</v>
      </c>
      <c r="F13" s="48">
        <v>46169</v>
      </c>
      <c r="G13" s="48"/>
      <c r="H13" s="31" t="s">
        <v>394</v>
      </c>
      <c r="I13" s="52">
        <v>8</v>
      </c>
      <c r="J13" s="52">
        <v>3</v>
      </c>
      <c r="K13" s="52"/>
      <c r="L13" s="52"/>
      <c r="M13" s="52">
        <v>8</v>
      </c>
      <c r="N13" s="52">
        <v>3</v>
      </c>
      <c r="O13" s="52"/>
      <c r="P13" s="52"/>
      <c r="Q13" s="52">
        <v>8</v>
      </c>
      <c r="R13" s="52">
        <v>3</v>
      </c>
      <c r="S13" s="52"/>
      <c r="T13" s="52"/>
      <c r="U13" s="52">
        <v>7.5</v>
      </c>
      <c r="V13" s="52">
        <v>3</v>
      </c>
      <c r="W13" s="52"/>
      <c r="X13" s="52"/>
      <c r="Y13" s="52">
        <v>8</v>
      </c>
      <c r="Z13" s="52">
        <v>3</v>
      </c>
      <c r="AA13" s="52"/>
      <c r="AB13" s="52"/>
      <c r="AC13" s="52">
        <v>8</v>
      </c>
      <c r="AD13" s="52">
        <v>3</v>
      </c>
      <c r="AE13" s="52"/>
      <c r="AF13" s="52"/>
      <c r="AG13" s="51"/>
      <c r="AH13" s="51"/>
      <c r="AI13" s="51"/>
      <c r="AJ13" s="51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1"/>
      <c r="BJ13" s="51"/>
      <c r="BK13" s="51"/>
      <c r="BL13" s="51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1"/>
      <c r="CL13" s="51"/>
      <c r="CM13" s="51"/>
      <c r="CN13" s="51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1"/>
      <c r="DN13" s="51"/>
      <c r="DO13" s="51"/>
      <c r="DP13" s="51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34">
        <f t="shared" si="0"/>
        <v>47.5</v>
      </c>
      <c r="ED13" s="34">
        <f t="shared" si="1"/>
        <v>18</v>
      </c>
      <c r="EE13" s="34">
        <f t="shared" si="2"/>
        <v>0</v>
      </c>
      <c r="EF13" s="34">
        <f t="shared" si="3"/>
        <v>0</v>
      </c>
      <c r="EG13" s="32">
        <f t="shared" si="4"/>
        <v>0</v>
      </c>
      <c r="EH13" s="32">
        <f t="shared" si="4"/>
        <v>0</v>
      </c>
      <c r="EI13" s="32">
        <f t="shared" si="4"/>
        <v>0</v>
      </c>
      <c r="EJ13" s="32">
        <f t="shared" si="4"/>
        <v>0</v>
      </c>
      <c r="EK13" s="33"/>
      <c r="EL13" s="33"/>
      <c r="EM13" s="25"/>
    </row>
    <row r="14" spans="1:143" s="19" customFormat="1" ht="30" customHeight="1">
      <c r="A14" s="30"/>
      <c r="B14" s="67" t="s">
        <v>398</v>
      </c>
      <c r="C14" s="24" t="s">
        <v>249</v>
      </c>
      <c r="D14" s="26" t="s">
        <v>122</v>
      </c>
      <c r="E14" s="66" t="s">
        <v>123</v>
      </c>
      <c r="F14" s="48">
        <v>46169</v>
      </c>
      <c r="G14" s="48"/>
      <c r="H14" s="31" t="s">
        <v>395</v>
      </c>
      <c r="I14" s="52">
        <v>8</v>
      </c>
      <c r="J14" s="52">
        <v>3</v>
      </c>
      <c r="K14" s="52"/>
      <c r="L14" s="52"/>
      <c r="M14" s="52">
        <v>8</v>
      </c>
      <c r="N14" s="52">
        <v>3</v>
      </c>
      <c r="O14" s="52"/>
      <c r="P14" s="52"/>
      <c r="Q14" s="52">
        <v>8</v>
      </c>
      <c r="R14" s="52">
        <v>3</v>
      </c>
      <c r="S14" s="52"/>
      <c r="T14" s="52"/>
      <c r="U14" s="52">
        <v>8</v>
      </c>
      <c r="V14" s="52">
        <v>3</v>
      </c>
      <c r="W14" s="52"/>
      <c r="X14" s="52"/>
      <c r="Y14" s="52">
        <v>8</v>
      </c>
      <c r="Z14" s="52">
        <v>3</v>
      </c>
      <c r="AA14" s="52"/>
      <c r="AB14" s="52"/>
      <c r="AC14" s="52"/>
      <c r="AD14" s="52"/>
      <c r="AE14" s="52"/>
      <c r="AF14" s="52"/>
      <c r="AG14" s="51"/>
      <c r="AH14" s="51"/>
      <c r="AI14" s="51"/>
      <c r="AJ14" s="51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1"/>
      <c r="BJ14" s="51"/>
      <c r="BK14" s="51"/>
      <c r="BL14" s="51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1"/>
      <c r="CL14" s="51"/>
      <c r="CM14" s="51"/>
      <c r="CN14" s="51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1"/>
      <c r="DN14" s="51"/>
      <c r="DO14" s="51"/>
      <c r="DP14" s="51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34">
        <f t="shared" si="0"/>
        <v>40</v>
      </c>
      <c r="ED14" s="34">
        <f t="shared" si="1"/>
        <v>15</v>
      </c>
      <c r="EE14" s="34">
        <f t="shared" si="2"/>
        <v>0</v>
      </c>
      <c r="EF14" s="34">
        <f t="shared" si="3"/>
        <v>0</v>
      </c>
      <c r="EG14" s="32">
        <f t="shared" si="4"/>
        <v>0</v>
      </c>
      <c r="EH14" s="32">
        <f t="shared" si="4"/>
        <v>0</v>
      </c>
      <c r="EI14" s="32">
        <f t="shared" si="4"/>
        <v>0</v>
      </c>
      <c r="EJ14" s="32">
        <f t="shared" si="4"/>
        <v>0</v>
      </c>
      <c r="EK14" s="33"/>
      <c r="EL14" s="33"/>
      <c r="EM14" s="25"/>
    </row>
    <row r="15" spans="1:143" s="19" customFormat="1" ht="30" customHeight="1">
      <c r="A15" s="30">
        <v>19</v>
      </c>
      <c r="B15" s="67" t="s">
        <v>303</v>
      </c>
      <c r="C15" s="63" t="s">
        <v>178</v>
      </c>
      <c r="D15" s="64" t="s">
        <v>90</v>
      </c>
      <c r="E15" s="77" t="s">
        <v>86</v>
      </c>
      <c r="F15" s="48">
        <v>46148</v>
      </c>
      <c r="G15" s="48"/>
      <c r="H15" s="31" t="s">
        <v>393</v>
      </c>
      <c r="I15" s="52">
        <v>8</v>
      </c>
      <c r="J15" s="52"/>
      <c r="K15" s="52"/>
      <c r="L15" s="52"/>
      <c r="M15" s="52">
        <v>8</v>
      </c>
      <c r="N15" s="52">
        <v>4</v>
      </c>
      <c r="O15" s="52"/>
      <c r="P15" s="52"/>
      <c r="Q15" s="52">
        <v>8</v>
      </c>
      <c r="R15" s="52">
        <v>4</v>
      </c>
      <c r="S15" s="52"/>
      <c r="T15" s="52"/>
      <c r="U15" s="52">
        <v>8</v>
      </c>
      <c r="V15" s="52">
        <v>4</v>
      </c>
      <c r="W15" s="52"/>
      <c r="X15" s="52"/>
      <c r="Y15" s="52">
        <v>8</v>
      </c>
      <c r="Z15" s="52">
        <v>3</v>
      </c>
      <c r="AA15" s="52"/>
      <c r="AB15" s="52"/>
      <c r="AC15" s="52"/>
      <c r="AD15" s="52"/>
      <c r="AE15" s="52"/>
      <c r="AF15" s="52"/>
      <c r="AG15" s="51"/>
      <c r="AH15" s="51"/>
      <c r="AI15" s="51"/>
      <c r="AJ15" s="51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1"/>
      <c r="BJ15" s="51"/>
      <c r="BK15" s="51"/>
      <c r="BL15" s="51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1"/>
      <c r="CL15" s="51"/>
      <c r="CM15" s="51"/>
      <c r="CN15" s="51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1"/>
      <c r="DN15" s="51"/>
      <c r="DO15" s="51"/>
      <c r="DP15" s="51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34">
        <f t="shared" si="0"/>
        <v>40</v>
      </c>
      <c r="ED15" s="34">
        <f t="shared" si="1"/>
        <v>15</v>
      </c>
      <c r="EE15" s="34">
        <f t="shared" si="2"/>
        <v>0</v>
      </c>
      <c r="EF15" s="34">
        <f t="shared" si="3"/>
        <v>0</v>
      </c>
      <c r="EG15" s="32">
        <f t="shared" si="4"/>
        <v>0</v>
      </c>
      <c r="EH15" s="32">
        <f t="shared" si="4"/>
        <v>0</v>
      </c>
      <c r="EI15" s="32">
        <f t="shared" si="4"/>
        <v>0</v>
      </c>
      <c r="EJ15" s="32">
        <f t="shared" si="4"/>
        <v>0</v>
      </c>
      <c r="EK15" s="33"/>
      <c r="EL15" s="33"/>
      <c r="EM15" s="25"/>
    </row>
    <row r="16" spans="1:143" s="19" customFormat="1" ht="30" customHeight="1">
      <c r="A16" s="30"/>
      <c r="B16" s="67" t="s">
        <v>304</v>
      </c>
      <c r="C16" s="24" t="s">
        <v>242</v>
      </c>
      <c r="D16" s="26" t="s">
        <v>130</v>
      </c>
      <c r="E16" s="66" t="s">
        <v>149</v>
      </c>
      <c r="F16" s="48">
        <v>46169</v>
      </c>
      <c r="G16" s="48"/>
      <c r="H16" s="31" t="s">
        <v>393</v>
      </c>
      <c r="I16" s="52">
        <v>8</v>
      </c>
      <c r="J16" s="52"/>
      <c r="K16" s="52"/>
      <c r="L16" s="52"/>
      <c r="M16" s="52">
        <v>8</v>
      </c>
      <c r="N16" s="52">
        <v>3</v>
      </c>
      <c r="O16" s="52"/>
      <c r="P16" s="52"/>
      <c r="Q16" s="52">
        <v>8</v>
      </c>
      <c r="R16" s="52">
        <v>4</v>
      </c>
      <c r="S16" s="52"/>
      <c r="T16" s="52"/>
      <c r="U16" s="52">
        <v>8</v>
      </c>
      <c r="V16" s="52">
        <v>3</v>
      </c>
      <c r="W16" s="52"/>
      <c r="X16" s="52"/>
      <c r="Y16" s="52">
        <v>8</v>
      </c>
      <c r="Z16" s="52">
        <v>3</v>
      </c>
      <c r="AA16" s="52"/>
      <c r="AB16" s="52"/>
      <c r="AC16" s="52">
        <v>8</v>
      </c>
      <c r="AD16" s="52"/>
      <c r="AE16" s="52"/>
      <c r="AF16" s="52"/>
      <c r="AG16" s="51"/>
      <c r="AH16" s="51"/>
      <c r="AI16" s="51"/>
      <c r="AJ16" s="51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1"/>
      <c r="BJ16" s="51"/>
      <c r="BK16" s="51"/>
      <c r="BL16" s="51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1"/>
      <c r="CL16" s="51"/>
      <c r="CM16" s="51"/>
      <c r="CN16" s="51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1"/>
      <c r="DN16" s="51"/>
      <c r="DO16" s="51"/>
      <c r="DP16" s="51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34">
        <f t="shared" si="0"/>
        <v>48</v>
      </c>
      <c r="ED16" s="34">
        <f t="shared" si="1"/>
        <v>13</v>
      </c>
      <c r="EE16" s="34">
        <f t="shared" si="2"/>
        <v>0</v>
      </c>
      <c r="EF16" s="34">
        <f t="shared" si="3"/>
        <v>0</v>
      </c>
      <c r="EG16" s="32">
        <f t="shared" si="4"/>
        <v>0</v>
      </c>
      <c r="EH16" s="32">
        <f t="shared" si="4"/>
        <v>0</v>
      </c>
      <c r="EI16" s="32">
        <f t="shared" si="4"/>
        <v>0</v>
      </c>
      <c r="EJ16" s="32">
        <f t="shared" si="4"/>
        <v>0</v>
      </c>
      <c r="EK16" s="33"/>
      <c r="EL16" s="33"/>
      <c r="EM16" s="25"/>
    </row>
    <row r="17" spans="1:143" s="19" customFormat="1" ht="30" customHeight="1">
      <c r="A17" s="30"/>
      <c r="B17" s="67" t="s">
        <v>305</v>
      </c>
      <c r="C17" s="24" t="s">
        <v>390</v>
      </c>
      <c r="D17" s="26" t="s">
        <v>162</v>
      </c>
      <c r="E17" s="66" t="s">
        <v>106</v>
      </c>
      <c r="F17" s="48">
        <v>46169</v>
      </c>
      <c r="G17" s="48"/>
      <c r="H17" s="31" t="s">
        <v>393</v>
      </c>
      <c r="I17" s="52">
        <v>8</v>
      </c>
      <c r="J17" s="52"/>
      <c r="K17" s="52"/>
      <c r="L17" s="52"/>
      <c r="M17" s="52">
        <v>8</v>
      </c>
      <c r="N17" s="52">
        <v>3</v>
      </c>
      <c r="O17" s="52"/>
      <c r="P17" s="52"/>
      <c r="Q17" s="52">
        <v>8</v>
      </c>
      <c r="R17" s="52">
        <v>4</v>
      </c>
      <c r="S17" s="52"/>
      <c r="T17" s="52"/>
      <c r="U17" s="52">
        <v>8</v>
      </c>
      <c r="V17" s="52">
        <v>3</v>
      </c>
      <c r="W17" s="52"/>
      <c r="X17" s="52"/>
      <c r="Y17" s="52">
        <v>8</v>
      </c>
      <c r="Z17" s="52">
        <v>3</v>
      </c>
      <c r="AA17" s="52"/>
      <c r="AB17" s="52"/>
      <c r="AC17" s="52">
        <v>8</v>
      </c>
      <c r="AD17" s="52"/>
      <c r="AE17" s="52"/>
      <c r="AF17" s="52"/>
      <c r="AG17" s="51"/>
      <c r="AH17" s="51"/>
      <c r="AI17" s="51"/>
      <c r="AJ17" s="51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1"/>
      <c r="BJ17" s="51"/>
      <c r="BK17" s="51"/>
      <c r="BL17" s="51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1"/>
      <c r="CL17" s="51"/>
      <c r="CM17" s="51"/>
      <c r="CN17" s="51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1"/>
      <c r="DN17" s="51"/>
      <c r="DO17" s="51"/>
      <c r="DP17" s="51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34">
        <f t="shared" si="0"/>
        <v>48</v>
      </c>
      <c r="ED17" s="34">
        <f t="shared" si="1"/>
        <v>13</v>
      </c>
      <c r="EE17" s="34">
        <f t="shared" si="2"/>
        <v>0</v>
      </c>
      <c r="EF17" s="34">
        <f t="shared" si="3"/>
        <v>0</v>
      </c>
      <c r="EG17" s="32">
        <f t="shared" si="4"/>
        <v>0</v>
      </c>
      <c r="EH17" s="32">
        <f t="shared" si="4"/>
        <v>0</v>
      </c>
      <c r="EI17" s="32">
        <f t="shared" si="4"/>
        <v>0</v>
      </c>
      <c r="EJ17" s="32">
        <f t="shared" si="4"/>
        <v>0</v>
      </c>
      <c r="EK17" s="33"/>
      <c r="EL17" s="33"/>
      <c r="EM17" s="25"/>
    </row>
    <row r="18" spans="1:143" s="19" customFormat="1" ht="30" customHeight="1">
      <c r="A18" s="30"/>
      <c r="B18" s="67" t="s">
        <v>306</v>
      </c>
      <c r="C18" s="24" t="s">
        <v>373</v>
      </c>
      <c r="D18" s="26" t="s">
        <v>262</v>
      </c>
      <c r="E18" s="66" t="s">
        <v>263</v>
      </c>
      <c r="F18" s="48">
        <v>46174</v>
      </c>
      <c r="G18" s="48"/>
      <c r="H18" s="31" t="s">
        <v>393</v>
      </c>
      <c r="I18" s="52">
        <v>8</v>
      </c>
      <c r="J18" s="52"/>
      <c r="K18" s="52"/>
      <c r="L18" s="52"/>
      <c r="M18" s="52">
        <v>8</v>
      </c>
      <c r="N18" s="52">
        <v>3</v>
      </c>
      <c r="O18" s="52"/>
      <c r="P18" s="52"/>
      <c r="Q18" s="52">
        <v>8</v>
      </c>
      <c r="R18" s="52">
        <v>3</v>
      </c>
      <c r="S18" s="52"/>
      <c r="T18" s="52"/>
      <c r="U18" s="52">
        <v>8</v>
      </c>
      <c r="V18" s="52">
        <v>4</v>
      </c>
      <c r="W18" s="52"/>
      <c r="X18" s="52"/>
      <c r="Y18" s="52">
        <v>8</v>
      </c>
      <c r="Z18" s="52"/>
      <c r="AA18" s="52"/>
      <c r="AB18" s="52"/>
      <c r="AC18" s="52">
        <v>8</v>
      </c>
      <c r="AD18" s="52"/>
      <c r="AE18" s="52"/>
      <c r="AF18" s="52"/>
      <c r="AG18" s="51"/>
      <c r="AH18" s="51"/>
      <c r="AI18" s="51"/>
      <c r="AJ18" s="51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1"/>
      <c r="BJ18" s="51"/>
      <c r="BK18" s="51"/>
      <c r="BL18" s="51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1"/>
      <c r="CL18" s="51"/>
      <c r="CM18" s="51"/>
      <c r="CN18" s="51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1"/>
      <c r="DN18" s="51"/>
      <c r="DO18" s="51"/>
      <c r="DP18" s="51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34">
        <f t="shared" si="0"/>
        <v>48</v>
      </c>
      <c r="ED18" s="34">
        <f t="shared" si="1"/>
        <v>10</v>
      </c>
      <c r="EE18" s="34">
        <f t="shared" si="2"/>
        <v>0</v>
      </c>
      <c r="EF18" s="34">
        <f t="shared" si="3"/>
        <v>0</v>
      </c>
      <c r="EG18" s="32">
        <f t="shared" si="4"/>
        <v>0</v>
      </c>
      <c r="EH18" s="32">
        <f t="shared" si="4"/>
        <v>0</v>
      </c>
      <c r="EI18" s="32">
        <f t="shared" si="4"/>
        <v>0</v>
      </c>
      <c r="EJ18" s="32">
        <f t="shared" si="4"/>
        <v>0</v>
      </c>
      <c r="EK18" s="33"/>
      <c r="EL18" s="33"/>
      <c r="EM18" s="25"/>
    </row>
    <row r="19" spans="1:143" s="19" customFormat="1" ht="30" customHeight="1">
      <c r="A19" s="30"/>
      <c r="B19" s="67" t="s">
        <v>307</v>
      </c>
      <c r="C19" s="24" t="s">
        <v>376</v>
      </c>
      <c r="D19" s="26" t="s">
        <v>268</v>
      </c>
      <c r="E19" s="66" t="s">
        <v>269</v>
      </c>
      <c r="F19" s="48">
        <v>46174</v>
      </c>
      <c r="G19" s="48"/>
      <c r="H19" s="31" t="s">
        <v>393</v>
      </c>
      <c r="I19" s="52">
        <v>8</v>
      </c>
      <c r="J19" s="52"/>
      <c r="K19" s="52"/>
      <c r="L19" s="52"/>
      <c r="M19" s="52">
        <v>8</v>
      </c>
      <c r="N19" s="52">
        <v>2</v>
      </c>
      <c r="O19" s="52"/>
      <c r="P19" s="52"/>
      <c r="Q19" s="52">
        <v>8</v>
      </c>
      <c r="R19" s="52">
        <v>4</v>
      </c>
      <c r="S19" s="52"/>
      <c r="T19" s="52"/>
      <c r="U19" s="52">
        <v>8</v>
      </c>
      <c r="V19" s="52">
        <v>3</v>
      </c>
      <c r="W19" s="52"/>
      <c r="X19" s="52"/>
      <c r="Y19" s="52">
        <v>8</v>
      </c>
      <c r="Z19" s="52">
        <v>3</v>
      </c>
      <c r="AA19" s="52"/>
      <c r="AB19" s="52"/>
      <c r="AC19" s="52"/>
      <c r="AD19" s="52"/>
      <c r="AE19" s="52"/>
      <c r="AF19" s="52"/>
      <c r="AG19" s="51"/>
      <c r="AH19" s="51"/>
      <c r="AI19" s="51"/>
      <c r="AJ19" s="51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1"/>
      <c r="BJ19" s="51"/>
      <c r="BK19" s="51"/>
      <c r="BL19" s="51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1"/>
      <c r="CL19" s="51"/>
      <c r="CM19" s="51"/>
      <c r="CN19" s="51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1"/>
      <c r="DN19" s="51"/>
      <c r="DO19" s="51"/>
      <c r="DP19" s="51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34">
        <f t="shared" si="0"/>
        <v>40</v>
      </c>
      <c r="ED19" s="34">
        <f t="shared" si="1"/>
        <v>12</v>
      </c>
      <c r="EE19" s="34">
        <f t="shared" si="2"/>
        <v>0</v>
      </c>
      <c r="EF19" s="34">
        <f t="shared" si="3"/>
        <v>0</v>
      </c>
      <c r="EG19" s="32">
        <f t="shared" si="4"/>
        <v>0</v>
      </c>
      <c r="EH19" s="32">
        <f t="shared" si="4"/>
        <v>0</v>
      </c>
      <c r="EI19" s="32">
        <f t="shared" si="4"/>
        <v>0</v>
      </c>
      <c r="EJ19" s="32">
        <f t="shared" si="4"/>
        <v>0</v>
      </c>
      <c r="EK19" s="33"/>
      <c r="EL19" s="33"/>
      <c r="EM19" s="25"/>
    </row>
    <row r="20" spans="1:143" s="19" customFormat="1" ht="30" customHeight="1">
      <c r="A20" s="30">
        <v>6</v>
      </c>
      <c r="B20" s="67" t="s">
        <v>308</v>
      </c>
      <c r="C20" s="76" t="s">
        <v>84</v>
      </c>
      <c r="D20" s="26" t="s">
        <v>36</v>
      </c>
      <c r="E20" s="66" t="s">
        <v>37</v>
      </c>
      <c r="F20" s="48"/>
      <c r="G20" s="48"/>
      <c r="H20" s="31" t="s">
        <v>397</v>
      </c>
      <c r="I20" s="52">
        <v>8</v>
      </c>
      <c r="J20" s="52">
        <v>3</v>
      </c>
      <c r="K20" s="52"/>
      <c r="L20" s="52"/>
      <c r="M20" s="52">
        <v>8</v>
      </c>
      <c r="N20" s="52">
        <v>3</v>
      </c>
      <c r="O20" s="52"/>
      <c r="P20" s="52"/>
      <c r="Q20" s="52">
        <v>7.5</v>
      </c>
      <c r="R20" s="52">
        <v>4</v>
      </c>
      <c r="S20" s="52"/>
      <c r="T20" s="52"/>
      <c r="U20" s="52">
        <v>8</v>
      </c>
      <c r="V20" s="52">
        <v>4</v>
      </c>
      <c r="W20" s="52"/>
      <c r="X20" s="52"/>
      <c r="Y20" s="52">
        <v>8</v>
      </c>
      <c r="Z20" s="52"/>
      <c r="AA20" s="52"/>
      <c r="AB20" s="52"/>
      <c r="AC20" s="52">
        <v>8</v>
      </c>
      <c r="AD20" s="52"/>
      <c r="AE20" s="52"/>
      <c r="AF20" s="52"/>
      <c r="AG20" s="51"/>
      <c r="AH20" s="51"/>
      <c r="AI20" s="51"/>
      <c r="AJ20" s="51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1"/>
      <c r="BJ20" s="51"/>
      <c r="BK20" s="51"/>
      <c r="BL20" s="51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1"/>
      <c r="CL20" s="51"/>
      <c r="CM20" s="51"/>
      <c r="CN20" s="51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1"/>
      <c r="DN20" s="51"/>
      <c r="DO20" s="51"/>
      <c r="DP20" s="51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34">
        <f t="shared" si="0"/>
        <v>47.5</v>
      </c>
      <c r="ED20" s="34">
        <f t="shared" si="1"/>
        <v>14</v>
      </c>
      <c r="EE20" s="34">
        <f t="shared" si="2"/>
        <v>0</v>
      </c>
      <c r="EF20" s="34">
        <f t="shared" si="3"/>
        <v>0</v>
      </c>
      <c r="EG20" s="32">
        <f t="shared" si="4"/>
        <v>0</v>
      </c>
      <c r="EH20" s="32">
        <f t="shared" si="4"/>
        <v>0</v>
      </c>
      <c r="EI20" s="32">
        <f t="shared" si="4"/>
        <v>0</v>
      </c>
      <c r="EJ20" s="32">
        <f t="shared" si="4"/>
        <v>0</v>
      </c>
      <c r="EK20" s="33"/>
      <c r="EL20" s="33"/>
      <c r="EM20" s="55"/>
    </row>
    <row r="21" spans="1:143" s="19" customFormat="1" ht="30" customHeight="1">
      <c r="A21" s="30">
        <v>7</v>
      </c>
      <c r="B21" s="67" t="s">
        <v>309</v>
      </c>
      <c r="C21" s="76" t="s">
        <v>290</v>
      </c>
      <c r="D21" s="26" t="s">
        <v>56</v>
      </c>
      <c r="E21" s="66" t="s">
        <v>386</v>
      </c>
      <c r="F21" s="48"/>
      <c r="G21" s="48"/>
      <c r="H21" s="31" t="s">
        <v>397</v>
      </c>
      <c r="I21" s="52"/>
      <c r="J21" s="52"/>
      <c r="K21" s="52"/>
      <c r="L21" s="52"/>
      <c r="M21" s="52">
        <v>8</v>
      </c>
      <c r="N21" s="52">
        <v>3</v>
      </c>
      <c r="O21" s="52"/>
      <c r="P21" s="52"/>
      <c r="Q21" s="52">
        <v>8</v>
      </c>
      <c r="R21" s="52">
        <v>3</v>
      </c>
      <c r="S21" s="52"/>
      <c r="T21" s="52"/>
      <c r="U21" s="52">
        <v>6</v>
      </c>
      <c r="V21" s="52"/>
      <c r="W21" s="52"/>
      <c r="X21" s="52"/>
      <c r="Y21" s="52">
        <v>8</v>
      </c>
      <c r="Z21" s="52">
        <v>2</v>
      </c>
      <c r="AA21" s="52"/>
      <c r="AB21" s="52"/>
      <c r="AC21" s="52">
        <v>8</v>
      </c>
      <c r="AD21" s="52"/>
      <c r="AE21" s="52"/>
      <c r="AF21" s="52"/>
      <c r="AG21" s="51"/>
      <c r="AH21" s="51"/>
      <c r="AI21" s="51"/>
      <c r="AJ21" s="51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1"/>
      <c r="BJ21" s="51"/>
      <c r="BK21" s="51"/>
      <c r="BL21" s="51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1"/>
      <c r="CL21" s="51"/>
      <c r="CM21" s="51"/>
      <c r="CN21" s="51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1"/>
      <c r="DN21" s="51"/>
      <c r="DO21" s="51"/>
      <c r="DP21" s="51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34">
        <f t="shared" si="0"/>
        <v>38</v>
      </c>
      <c r="ED21" s="34">
        <f t="shared" si="1"/>
        <v>8</v>
      </c>
      <c r="EE21" s="34">
        <f t="shared" si="2"/>
        <v>0</v>
      </c>
      <c r="EF21" s="34">
        <f t="shared" si="3"/>
        <v>0</v>
      </c>
      <c r="EG21" s="32">
        <f t="shared" si="4"/>
        <v>0</v>
      </c>
      <c r="EH21" s="32">
        <f t="shared" si="4"/>
        <v>0</v>
      </c>
      <c r="EI21" s="32">
        <f t="shared" si="4"/>
        <v>0</v>
      </c>
      <c r="EJ21" s="32">
        <f t="shared" si="4"/>
        <v>0</v>
      </c>
      <c r="EK21" s="33"/>
      <c r="EL21" s="33"/>
      <c r="EM21" s="55"/>
    </row>
    <row r="22" spans="1:143" s="19" customFormat="1" ht="30" customHeight="1">
      <c r="A22" s="30">
        <v>13</v>
      </c>
      <c r="B22" s="67" t="s">
        <v>310</v>
      </c>
      <c r="C22" s="24" t="s">
        <v>291</v>
      </c>
      <c r="D22" s="26" t="s">
        <v>57</v>
      </c>
      <c r="E22" s="66" t="s">
        <v>387</v>
      </c>
      <c r="F22" s="48"/>
      <c r="G22" s="48" t="s">
        <v>44</v>
      </c>
      <c r="H22" s="31" t="s">
        <v>397</v>
      </c>
      <c r="I22" s="52">
        <v>8</v>
      </c>
      <c r="J22" s="52"/>
      <c r="K22" s="52"/>
      <c r="L22" s="52"/>
      <c r="M22" s="52">
        <v>8</v>
      </c>
      <c r="N22" s="52">
        <v>3</v>
      </c>
      <c r="O22" s="52"/>
      <c r="P22" s="52"/>
      <c r="Q22" s="52">
        <v>8</v>
      </c>
      <c r="R22" s="52">
        <v>3</v>
      </c>
      <c r="S22" s="52"/>
      <c r="T22" s="52"/>
      <c r="U22" s="52">
        <v>8</v>
      </c>
      <c r="V22" s="52">
        <v>2</v>
      </c>
      <c r="W22" s="52"/>
      <c r="X22" s="52"/>
      <c r="Y22" s="52">
        <v>8</v>
      </c>
      <c r="Z22" s="52">
        <v>2</v>
      </c>
      <c r="AA22" s="52"/>
      <c r="AB22" s="52"/>
      <c r="AC22" s="52">
        <v>8</v>
      </c>
      <c r="AD22" s="52"/>
      <c r="AE22" s="52"/>
      <c r="AF22" s="52"/>
      <c r="AG22" s="51"/>
      <c r="AH22" s="51"/>
      <c r="AI22" s="51"/>
      <c r="AJ22" s="51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1"/>
      <c r="BJ22" s="51"/>
      <c r="BK22" s="51"/>
      <c r="BL22" s="51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1"/>
      <c r="CL22" s="51"/>
      <c r="CM22" s="51"/>
      <c r="CN22" s="51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1"/>
      <c r="DN22" s="51"/>
      <c r="DO22" s="51"/>
      <c r="DP22" s="51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34">
        <f t="shared" si="0"/>
        <v>48</v>
      </c>
      <c r="ED22" s="34">
        <f t="shared" si="1"/>
        <v>10</v>
      </c>
      <c r="EE22" s="34">
        <f t="shared" si="2"/>
        <v>0</v>
      </c>
      <c r="EF22" s="34">
        <f t="shared" si="3"/>
        <v>0</v>
      </c>
      <c r="EG22" s="32">
        <f t="shared" si="4"/>
        <v>0</v>
      </c>
      <c r="EH22" s="32">
        <f t="shared" si="4"/>
        <v>0</v>
      </c>
      <c r="EI22" s="32">
        <f t="shared" si="4"/>
        <v>0</v>
      </c>
      <c r="EJ22" s="32">
        <f t="shared" si="4"/>
        <v>0</v>
      </c>
      <c r="EK22" s="33"/>
      <c r="EL22" s="33"/>
      <c r="EM22" s="55"/>
    </row>
    <row r="23" spans="1:143" s="19" customFormat="1" ht="30" customHeight="1">
      <c r="A23" s="30">
        <v>14</v>
      </c>
      <c r="B23" s="67" t="s">
        <v>311</v>
      </c>
      <c r="C23" s="24" t="s">
        <v>295</v>
      </c>
      <c r="D23" s="26" t="s">
        <v>76</v>
      </c>
      <c r="E23" s="66" t="s">
        <v>72</v>
      </c>
      <c r="F23" s="48"/>
      <c r="G23" s="48"/>
      <c r="H23" s="31" t="s">
        <v>397</v>
      </c>
      <c r="I23" s="52">
        <v>8</v>
      </c>
      <c r="J23" s="52"/>
      <c r="K23" s="52"/>
      <c r="L23" s="52"/>
      <c r="M23" s="52">
        <v>8</v>
      </c>
      <c r="N23" s="52">
        <v>3</v>
      </c>
      <c r="O23" s="52"/>
      <c r="P23" s="52"/>
      <c r="Q23" s="52">
        <v>8</v>
      </c>
      <c r="R23" s="52">
        <v>3</v>
      </c>
      <c r="S23" s="52"/>
      <c r="T23" s="52"/>
      <c r="U23" s="52">
        <v>7</v>
      </c>
      <c r="V23" s="52">
        <v>3</v>
      </c>
      <c r="W23" s="52"/>
      <c r="X23" s="52"/>
      <c r="Y23" s="52">
        <v>8</v>
      </c>
      <c r="Z23" s="52">
        <v>2</v>
      </c>
      <c r="AA23" s="52"/>
      <c r="AB23" s="52"/>
      <c r="AC23" s="52">
        <v>8</v>
      </c>
      <c r="AD23" s="52"/>
      <c r="AE23" s="52"/>
      <c r="AF23" s="52"/>
      <c r="AG23" s="51"/>
      <c r="AH23" s="51"/>
      <c r="AI23" s="51"/>
      <c r="AJ23" s="51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1"/>
      <c r="BJ23" s="51"/>
      <c r="BK23" s="51"/>
      <c r="BL23" s="51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1"/>
      <c r="CL23" s="51"/>
      <c r="CM23" s="51"/>
      <c r="CN23" s="51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1"/>
      <c r="DN23" s="51"/>
      <c r="DO23" s="51"/>
      <c r="DP23" s="51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34">
        <f t="shared" si="0"/>
        <v>47</v>
      </c>
      <c r="ED23" s="34">
        <f t="shared" si="1"/>
        <v>11</v>
      </c>
      <c r="EE23" s="34">
        <f t="shared" si="2"/>
        <v>0</v>
      </c>
      <c r="EF23" s="34">
        <f t="shared" si="3"/>
        <v>0</v>
      </c>
      <c r="EG23" s="32">
        <f t="shared" si="4"/>
        <v>0</v>
      </c>
      <c r="EH23" s="32">
        <f t="shared" si="4"/>
        <v>0</v>
      </c>
      <c r="EI23" s="32">
        <f t="shared" si="4"/>
        <v>0</v>
      </c>
      <c r="EJ23" s="32">
        <f t="shared" si="4"/>
        <v>0</v>
      </c>
      <c r="EK23" s="33"/>
      <c r="EL23" s="33"/>
      <c r="EM23" s="55"/>
    </row>
    <row r="24" spans="1:143" s="19" customFormat="1" ht="30" customHeight="1">
      <c r="A24" s="30">
        <v>15</v>
      </c>
      <c r="B24" s="67" t="s">
        <v>312</v>
      </c>
      <c r="C24" s="24" t="s">
        <v>296</v>
      </c>
      <c r="D24" s="26" t="s">
        <v>75</v>
      </c>
      <c r="E24" s="66" t="s">
        <v>71</v>
      </c>
      <c r="F24" s="48"/>
      <c r="G24" s="48"/>
      <c r="H24" s="31" t="s">
        <v>397</v>
      </c>
      <c r="I24" s="52">
        <v>8</v>
      </c>
      <c r="J24" s="52"/>
      <c r="K24" s="52"/>
      <c r="L24" s="52"/>
      <c r="M24" s="52">
        <v>8</v>
      </c>
      <c r="N24" s="52">
        <v>3</v>
      </c>
      <c r="O24" s="52"/>
      <c r="P24" s="52"/>
      <c r="Q24" s="52">
        <v>8</v>
      </c>
      <c r="R24" s="52">
        <v>3</v>
      </c>
      <c r="S24" s="52"/>
      <c r="T24" s="52"/>
      <c r="U24" s="52">
        <v>8</v>
      </c>
      <c r="V24" s="52">
        <v>2</v>
      </c>
      <c r="W24" s="52"/>
      <c r="X24" s="52"/>
      <c r="Y24" s="52">
        <v>8</v>
      </c>
      <c r="Z24" s="52">
        <v>2</v>
      </c>
      <c r="AA24" s="52"/>
      <c r="AB24" s="52"/>
      <c r="AC24" s="52">
        <v>8</v>
      </c>
      <c r="AD24" s="52"/>
      <c r="AE24" s="52"/>
      <c r="AF24" s="52"/>
      <c r="AG24" s="51"/>
      <c r="AH24" s="51"/>
      <c r="AI24" s="51"/>
      <c r="AJ24" s="51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1"/>
      <c r="BJ24" s="51"/>
      <c r="BK24" s="51"/>
      <c r="BL24" s="51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1"/>
      <c r="CL24" s="51"/>
      <c r="CM24" s="51"/>
      <c r="CN24" s="51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1"/>
      <c r="DN24" s="51"/>
      <c r="DO24" s="51"/>
      <c r="DP24" s="51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34">
        <f t="shared" si="0"/>
        <v>48</v>
      </c>
      <c r="ED24" s="34">
        <f t="shared" si="1"/>
        <v>10</v>
      </c>
      <c r="EE24" s="34">
        <f t="shared" si="2"/>
        <v>0</v>
      </c>
      <c r="EF24" s="34">
        <f t="shared" si="3"/>
        <v>0</v>
      </c>
      <c r="EG24" s="32">
        <f t="shared" si="4"/>
        <v>0</v>
      </c>
      <c r="EH24" s="32">
        <f t="shared" si="4"/>
        <v>0</v>
      </c>
      <c r="EI24" s="32">
        <f t="shared" si="4"/>
        <v>0</v>
      </c>
      <c r="EJ24" s="32">
        <f t="shared" si="4"/>
        <v>0</v>
      </c>
      <c r="EK24" s="33"/>
      <c r="EL24" s="33"/>
      <c r="EM24" s="55"/>
    </row>
    <row r="25" spans="1:143" s="19" customFormat="1" ht="30" customHeight="1">
      <c r="A25" s="30">
        <v>20</v>
      </c>
      <c r="B25" s="67" t="s">
        <v>313</v>
      </c>
      <c r="C25" s="63" t="s">
        <v>298</v>
      </c>
      <c r="D25" s="64" t="s">
        <v>89</v>
      </c>
      <c r="E25" s="77" t="s">
        <v>85</v>
      </c>
      <c r="F25" s="48"/>
      <c r="G25" s="48"/>
      <c r="H25" s="31" t="s">
        <v>397</v>
      </c>
      <c r="I25" s="52">
        <v>8</v>
      </c>
      <c r="J25" s="52">
        <v>3</v>
      </c>
      <c r="K25" s="52"/>
      <c r="L25" s="52"/>
      <c r="M25" s="52">
        <v>8</v>
      </c>
      <c r="N25" s="52">
        <v>2.5</v>
      </c>
      <c r="O25" s="52"/>
      <c r="P25" s="52"/>
      <c r="Q25" s="52">
        <v>4</v>
      </c>
      <c r="R25" s="52"/>
      <c r="S25" s="52"/>
      <c r="T25" s="52"/>
      <c r="U25" s="52">
        <v>8</v>
      </c>
      <c r="V25" s="52">
        <v>3</v>
      </c>
      <c r="W25" s="52"/>
      <c r="X25" s="52"/>
      <c r="Y25" s="52">
        <v>8</v>
      </c>
      <c r="Z25" s="52">
        <v>3</v>
      </c>
      <c r="AA25" s="52"/>
      <c r="AB25" s="52"/>
      <c r="AC25" s="52">
        <v>8</v>
      </c>
      <c r="AD25" s="52"/>
      <c r="AE25" s="52"/>
      <c r="AF25" s="52"/>
      <c r="AG25" s="51"/>
      <c r="AH25" s="51"/>
      <c r="AI25" s="51"/>
      <c r="AJ25" s="51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1"/>
      <c r="BJ25" s="51"/>
      <c r="BK25" s="51"/>
      <c r="BL25" s="51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1"/>
      <c r="CL25" s="51"/>
      <c r="CM25" s="51"/>
      <c r="CN25" s="51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1"/>
      <c r="DN25" s="51"/>
      <c r="DO25" s="51"/>
      <c r="DP25" s="51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34">
        <f t="shared" si="0"/>
        <v>44</v>
      </c>
      <c r="ED25" s="34">
        <f t="shared" si="1"/>
        <v>11.5</v>
      </c>
      <c r="EE25" s="34">
        <f t="shared" si="2"/>
        <v>0</v>
      </c>
      <c r="EF25" s="34">
        <f t="shared" si="3"/>
        <v>0</v>
      </c>
      <c r="EG25" s="32">
        <f t="shared" ref="EG25:EJ41" si="5">SUMIF($I$10:$EB$10,EG$10,$I25:$EB25)</f>
        <v>0</v>
      </c>
      <c r="EH25" s="32">
        <f t="shared" si="5"/>
        <v>0</v>
      </c>
      <c r="EI25" s="32">
        <f t="shared" si="5"/>
        <v>0</v>
      </c>
      <c r="EJ25" s="32">
        <f t="shared" si="5"/>
        <v>0</v>
      </c>
      <c r="EK25" s="33"/>
      <c r="EL25" s="33"/>
      <c r="EM25" s="25"/>
    </row>
    <row r="26" spans="1:143" s="19" customFormat="1" ht="30" customHeight="1">
      <c r="A26" s="30">
        <v>23</v>
      </c>
      <c r="B26" s="67" t="s">
        <v>314</v>
      </c>
      <c r="C26" s="24" t="s">
        <v>299</v>
      </c>
      <c r="D26" s="26" t="s">
        <v>77</v>
      </c>
      <c r="E26" s="66" t="s">
        <v>74</v>
      </c>
      <c r="F26" s="48"/>
      <c r="G26" s="48"/>
      <c r="H26" s="31" t="s">
        <v>397</v>
      </c>
      <c r="I26" s="52">
        <v>8</v>
      </c>
      <c r="J26" s="52"/>
      <c r="K26" s="52"/>
      <c r="L26" s="52"/>
      <c r="M26" s="52">
        <v>8</v>
      </c>
      <c r="N26" s="52">
        <v>3</v>
      </c>
      <c r="O26" s="52"/>
      <c r="P26" s="52"/>
      <c r="Q26" s="52">
        <v>8</v>
      </c>
      <c r="R26" s="52">
        <v>3</v>
      </c>
      <c r="S26" s="52"/>
      <c r="T26" s="52"/>
      <c r="U26" s="52">
        <v>8</v>
      </c>
      <c r="V26" s="52">
        <v>3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1"/>
      <c r="AH26" s="51"/>
      <c r="AI26" s="51"/>
      <c r="AJ26" s="51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1"/>
      <c r="BJ26" s="51"/>
      <c r="BK26" s="51"/>
      <c r="BL26" s="51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1"/>
      <c r="CL26" s="51"/>
      <c r="CM26" s="51"/>
      <c r="CN26" s="51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1"/>
      <c r="DN26" s="51"/>
      <c r="DO26" s="51"/>
      <c r="DP26" s="51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34">
        <f t="shared" si="0"/>
        <v>32</v>
      </c>
      <c r="ED26" s="34">
        <f t="shared" si="1"/>
        <v>9</v>
      </c>
      <c r="EE26" s="34">
        <f t="shared" si="2"/>
        <v>0</v>
      </c>
      <c r="EF26" s="34">
        <f t="shared" si="3"/>
        <v>0</v>
      </c>
      <c r="EG26" s="32">
        <f t="shared" si="5"/>
        <v>0</v>
      </c>
      <c r="EH26" s="32">
        <f t="shared" si="5"/>
        <v>0</v>
      </c>
      <c r="EI26" s="32">
        <f t="shared" si="5"/>
        <v>0</v>
      </c>
      <c r="EJ26" s="32">
        <f t="shared" si="5"/>
        <v>0</v>
      </c>
      <c r="EK26" s="33"/>
      <c r="EL26" s="33"/>
      <c r="EM26" s="25"/>
    </row>
    <row r="27" spans="1:143" s="19" customFormat="1" ht="30" customHeight="1">
      <c r="A27" s="30">
        <v>24</v>
      </c>
      <c r="B27" s="67" t="s">
        <v>315</v>
      </c>
      <c r="C27" s="24" t="s">
        <v>173</v>
      </c>
      <c r="D27" s="26" t="s">
        <v>92</v>
      </c>
      <c r="E27" s="66" t="s">
        <v>91</v>
      </c>
      <c r="F27" s="48"/>
      <c r="G27" s="48"/>
      <c r="H27" s="31" t="s">
        <v>397</v>
      </c>
      <c r="I27" s="52">
        <v>8</v>
      </c>
      <c r="J27" s="52"/>
      <c r="K27" s="52"/>
      <c r="L27" s="52"/>
      <c r="M27" s="52">
        <v>8</v>
      </c>
      <c r="N27" s="52"/>
      <c r="O27" s="52"/>
      <c r="P27" s="52"/>
      <c r="Q27" s="52">
        <v>8</v>
      </c>
      <c r="R27" s="52">
        <v>3</v>
      </c>
      <c r="S27" s="52"/>
      <c r="T27" s="52"/>
      <c r="U27" s="52">
        <v>8</v>
      </c>
      <c r="V27" s="52">
        <v>3</v>
      </c>
      <c r="W27" s="52"/>
      <c r="X27" s="52"/>
      <c r="Y27" s="52">
        <v>8</v>
      </c>
      <c r="Z27" s="52">
        <v>3</v>
      </c>
      <c r="AA27" s="52"/>
      <c r="AB27" s="52"/>
      <c r="AC27" s="52">
        <v>8</v>
      </c>
      <c r="AD27" s="52"/>
      <c r="AE27" s="52"/>
      <c r="AF27" s="52"/>
      <c r="AG27" s="51"/>
      <c r="AH27" s="51"/>
      <c r="AI27" s="51"/>
      <c r="AJ27" s="51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1"/>
      <c r="BJ27" s="51"/>
      <c r="BK27" s="51"/>
      <c r="BL27" s="51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1"/>
      <c r="CL27" s="51"/>
      <c r="CM27" s="51"/>
      <c r="CN27" s="51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1"/>
      <c r="DN27" s="51"/>
      <c r="DO27" s="51"/>
      <c r="DP27" s="51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34">
        <f t="shared" si="0"/>
        <v>48</v>
      </c>
      <c r="ED27" s="34">
        <f t="shared" si="1"/>
        <v>9</v>
      </c>
      <c r="EE27" s="34">
        <f t="shared" si="2"/>
        <v>0</v>
      </c>
      <c r="EF27" s="34">
        <f t="shared" si="3"/>
        <v>0</v>
      </c>
      <c r="EG27" s="32">
        <f t="shared" si="5"/>
        <v>0</v>
      </c>
      <c r="EH27" s="32">
        <f t="shared" si="5"/>
        <v>0</v>
      </c>
      <c r="EI27" s="32">
        <f t="shared" si="5"/>
        <v>0</v>
      </c>
      <c r="EJ27" s="32">
        <f t="shared" si="5"/>
        <v>0</v>
      </c>
      <c r="EK27" s="33"/>
      <c r="EL27" s="33"/>
      <c r="EM27" s="25"/>
    </row>
    <row r="28" spans="1:143" s="19" customFormat="1" ht="30" customHeight="1">
      <c r="A28" s="30">
        <v>25</v>
      </c>
      <c r="B28" s="67" t="s">
        <v>316</v>
      </c>
      <c r="C28" s="24" t="s">
        <v>174</v>
      </c>
      <c r="D28" s="65" t="s">
        <v>94</v>
      </c>
      <c r="E28" s="66" t="s">
        <v>93</v>
      </c>
      <c r="F28" s="48"/>
      <c r="G28" s="48"/>
      <c r="H28" s="31" t="s">
        <v>397</v>
      </c>
      <c r="I28" s="52">
        <v>8</v>
      </c>
      <c r="J28" s="52">
        <v>3</v>
      </c>
      <c r="K28" s="52"/>
      <c r="L28" s="52"/>
      <c r="M28" s="52">
        <v>8</v>
      </c>
      <c r="N28" s="52">
        <v>3</v>
      </c>
      <c r="O28" s="52"/>
      <c r="P28" s="52"/>
      <c r="Q28" s="52">
        <v>8</v>
      </c>
      <c r="R28" s="52">
        <v>3</v>
      </c>
      <c r="S28" s="52"/>
      <c r="T28" s="52"/>
      <c r="U28" s="52">
        <v>8</v>
      </c>
      <c r="V28" s="52">
        <v>3</v>
      </c>
      <c r="W28" s="52"/>
      <c r="X28" s="52"/>
      <c r="Y28" s="52">
        <v>8</v>
      </c>
      <c r="Z28" s="52">
        <v>3</v>
      </c>
      <c r="AA28" s="52"/>
      <c r="AB28" s="52"/>
      <c r="AC28" s="52">
        <v>8</v>
      </c>
      <c r="AD28" s="52"/>
      <c r="AE28" s="52"/>
      <c r="AF28" s="52"/>
      <c r="AG28" s="51"/>
      <c r="AH28" s="51"/>
      <c r="AI28" s="51"/>
      <c r="AJ28" s="51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1"/>
      <c r="BJ28" s="51"/>
      <c r="BK28" s="51"/>
      <c r="BL28" s="51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1"/>
      <c r="CL28" s="51"/>
      <c r="CM28" s="51"/>
      <c r="CN28" s="51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1"/>
      <c r="DN28" s="51"/>
      <c r="DO28" s="51"/>
      <c r="DP28" s="51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34">
        <f t="shared" si="0"/>
        <v>48</v>
      </c>
      <c r="ED28" s="34">
        <f t="shared" si="1"/>
        <v>15</v>
      </c>
      <c r="EE28" s="34">
        <f t="shared" si="2"/>
        <v>0</v>
      </c>
      <c r="EF28" s="34">
        <f t="shared" si="3"/>
        <v>0</v>
      </c>
      <c r="EG28" s="32">
        <f t="shared" si="5"/>
        <v>0</v>
      </c>
      <c r="EH28" s="32">
        <f t="shared" si="5"/>
        <v>0</v>
      </c>
      <c r="EI28" s="32">
        <f t="shared" si="5"/>
        <v>0</v>
      </c>
      <c r="EJ28" s="32">
        <f t="shared" si="5"/>
        <v>0</v>
      </c>
      <c r="EK28" s="33"/>
      <c r="EL28" s="33"/>
      <c r="EM28" s="25"/>
    </row>
    <row r="29" spans="1:143" s="19" customFormat="1" ht="30" customHeight="1">
      <c r="A29" s="30">
        <v>28</v>
      </c>
      <c r="B29" s="67" t="s">
        <v>317</v>
      </c>
      <c r="C29" s="24" t="s">
        <v>175</v>
      </c>
      <c r="D29" s="26" t="s">
        <v>96</v>
      </c>
      <c r="E29" s="66" t="s">
        <v>95</v>
      </c>
      <c r="F29" s="48"/>
      <c r="G29" s="48"/>
      <c r="H29" s="31" t="s">
        <v>397</v>
      </c>
      <c r="I29" s="52">
        <v>8</v>
      </c>
      <c r="J29" s="52">
        <v>3</v>
      </c>
      <c r="K29" s="52"/>
      <c r="L29" s="52"/>
      <c r="M29" s="52">
        <v>8</v>
      </c>
      <c r="N29" s="52">
        <v>3</v>
      </c>
      <c r="O29" s="52"/>
      <c r="P29" s="52"/>
      <c r="Q29" s="52">
        <v>8</v>
      </c>
      <c r="R29" s="52">
        <v>3</v>
      </c>
      <c r="S29" s="52"/>
      <c r="T29" s="52"/>
      <c r="U29" s="52">
        <v>8</v>
      </c>
      <c r="V29" s="52">
        <v>2</v>
      </c>
      <c r="W29" s="52"/>
      <c r="X29" s="52"/>
      <c r="Y29" s="52">
        <v>8</v>
      </c>
      <c r="Z29" s="52">
        <v>2</v>
      </c>
      <c r="AA29" s="52"/>
      <c r="AB29" s="52"/>
      <c r="AC29" s="52">
        <v>8</v>
      </c>
      <c r="AD29" s="52"/>
      <c r="AE29" s="52"/>
      <c r="AF29" s="52"/>
      <c r="AG29" s="51"/>
      <c r="AH29" s="51"/>
      <c r="AI29" s="51"/>
      <c r="AJ29" s="51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1"/>
      <c r="BJ29" s="51"/>
      <c r="BK29" s="51"/>
      <c r="BL29" s="51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1"/>
      <c r="CL29" s="51"/>
      <c r="CM29" s="51"/>
      <c r="CN29" s="51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1"/>
      <c r="DN29" s="51"/>
      <c r="DO29" s="51"/>
      <c r="DP29" s="51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34">
        <f t="shared" si="0"/>
        <v>48</v>
      </c>
      <c r="ED29" s="34">
        <f t="shared" si="1"/>
        <v>13</v>
      </c>
      <c r="EE29" s="34">
        <f t="shared" si="2"/>
        <v>0</v>
      </c>
      <c r="EF29" s="34">
        <f t="shared" si="3"/>
        <v>0</v>
      </c>
      <c r="EG29" s="32">
        <f t="shared" si="5"/>
        <v>0</v>
      </c>
      <c r="EH29" s="32">
        <f t="shared" si="5"/>
        <v>0</v>
      </c>
      <c r="EI29" s="32">
        <f t="shared" si="5"/>
        <v>0</v>
      </c>
      <c r="EJ29" s="32">
        <f t="shared" si="5"/>
        <v>0</v>
      </c>
      <c r="EK29" s="33"/>
      <c r="EL29" s="33"/>
      <c r="EM29" s="25"/>
    </row>
    <row r="30" spans="1:143" s="19" customFormat="1" ht="30" customHeight="1">
      <c r="A30" s="30"/>
      <c r="B30" s="67" t="s">
        <v>318</v>
      </c>
      <c r="C30" s="24" t="s">
        <v>167</v>
      </c>
      <c r="D30" s="26" t="s">
        <v>116</v>
      </c>
      <c r="E30" s="66" t="s">
        <v>117</v>
      </c>
      <c r="F30" s="48"/>
      <c r="G30" s="48"/>
      <c r="H30" s="31" t="s">
        <v>397</v>
      </c>
      <c r="I30" s="52">
        <v>8</v>
      </c>
      <c r="J30" s="52">
        <v>3</v>
      </c>
      <c r="K30" s="52"/>
      <c r="L30" s="52"/>
      <c r="M30" s="52">
        <v>8</v>
      </c>
      <c r="N30" s="52">
        <v>3</v>
      </c>
      <c r="O30" s="52"/>
      <c r="P30" s="52"/>
      <c r="Q30" s="52">
        <v>8</v>
      </c>
      <c r="R30" s="52">
        <v>4</v>
      </c>
      <c r="S30" s="52"/>
      <c r="T30" s="52"/>
      <c r="U30" s="52">
        <v>8</v>
      </c>
      <c r="V30" s="52">
        <v>3</v>
      </c>
      <c r="W30" s="52"/>
      <c r="X30" s="52"/>
      <c r="Y30" s="52">
        <v>8</v>
      </c>
      <c r="Z30" s="52">
        <v>3</v>
      </c>
      <c r="AA30" s="52"/>
      <c r="AB30" s="52"/>
      <c r="AC30" s="52">
        <v>8</v>
      </c>
      <c r="AD30" s="52"/>
      <c r="AE30" s="52"/>
      <c r="AF30" s="52"/>
      <c r="AG30" s="51"/>
      <c r="AH30" s="51"/>
      <c r="AI30" s="51"/>
      <c r="AJ30" s="51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1"/>
      <c r="BJ30" s="51"/>
      <c r="BK30" s="51"/>
      <c r="BL30" s="51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1"/>
      <c r="CL30" s="51"/>
      <c r="CM30" s="51"/>
      <c r="CN30" s="51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1"/>
      <c r="DN30" s="51"/>
      <c r="DO30" s="51"/>
      <c r="DP30" s="51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34">
        <f t="shared" si="0"/>
        <v>48</v>
      </c>
      <c r="ED30" s="34">
        <f t="shared" si="1"/>
        <v>16</v>
      </c>
      <c r="EE30" s="34">
        <f t="shared" si="2"/>
        <v>0</v>
      </c>
      <c r="EF30" s="34">
        <f t="shared" si="3"/>
        <v>0</v>
      </c>
      <c r="EG30" s="32">
        <f t="shared" si="5"/>
        <v>0</v>
      </c>
      <c r="EH30" s="32">
        <f t="shared" si="5"/>
        <v>0</v>
      </c>
      <c r="EI30" s="32">
        <f t="shared" si="5"/>
        <v>0</v>
      </c>
      <c r="EJ30" s="32">
        <f t="shared" si="5"/>
        <v>0</v>
      </c>
      <c r="EK30" s="33"/>
      <c r="EL30" s="33"/>
      <c r="EM30" s="25"/>
    </row>
    <row r="31" spans="1:143" s="19" customFormat="1" ht="30" customHeight="1">
      <c r="A31" s="30"/>
      <c r="B31" s="67" t="s">
        <v>319</v>
      </c>
      <c r="C31" s="24" t="s">
        <v>168</v>
      </c>
      <c r="D31" s="26" t="s">
        <v>109</v>
      </c>
      <c r="E31" s="66" t="s">
        <v>110</v>
      </c>
      <c r="F31" s="48"/>
      <c r="G31" s="48"/>
      <c r="H31" s="31" t="s">
        <v>397</v>
      </c>
      <c r="I31" s="52">
        <v>8</v>
      </c>
      <c r="J31" s="52">
        <v>2</v>
      </c>
      <c r="K31" s="52"/>
      <c r="L31" s="52"/>
      <c r="M31" s="52">
        <v>8</v>
      </c>
      <c r="N31" s="52">
        <v>3</v>
      </c>
      <c r="O31" s="52"/>
      <c r="P31" s="52"/>
      <c r="Q31" s="52">
        <v>8</v>
      </c>
      <c r="R31" s="52">
        <v>3</v>
      </c>
      <c r="S31" s="52"/>
      <c r="T31" s="52"/>
      <c r="U31" s="52">
        <v>8</v>
      </c>
      <c r="V31" s="52">
        <v>3</v>
      </c>
      <c r="W31" s="52"/>
      <c r="X31" s="52"/>
      <c r="Y31" s="52">
        <v>8</v>
      </c>
      <c r="Z31" s="52">
        <v>2</v>
      </c>
      <c r="AA31" s="52"/>
      <c r="AB31" s="52"/>
      <c r="AC31" s="52">
        <v>8</v>
      </c>
      <c r="AD31" s="52"/>
      <c r="AE31" s="52"/>
      <c r="AF31" s="52"/>
      <c r="AG31" s="51"/>
      <c r="AH31" s="51"/>
      <c r="AI31" s="51"/>
      <c r="AJ31" s="51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1"/>
      <c r="BJ31" s="51"/>
      <c r="BK31" s="51"/>
      <c r="BL31" s="51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1"/>
      <c r="CL31" s="51"/>
      <c r="CM31" s="51"/>
      <c r="CN31" s="51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1"/>
      <c r="DN31" s="51"/>
      <c r="DO31" s="51"/>
      <c r="DP31" s="51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34">
        <f t="shared" si="0"/>
        <v>48</v>
      </c>
      <c r="ED31" s="34">
        <f t="shared" si="1"/>
        <v>13</v>
      </c>
      <c r="EE31" s="34">
        <f t="shared" si="2"/>
        <v>0</v>
      </c>
      <c r="EF31" s="34">
        <f t="shared" si="3"/>
        <v>0</v>
      </c>
      <c r="EG31" s="32">
        <f t="shared" si="5"/>
        <v>0</v>
      </c>
      <c r="EH31" s="32">
        <f t="shared" si="5"/>
        <v>0</v>
      </c>
      <c r="EI31" s="32">
        <f t="shared" si="5"/>
        <v>0</v>
      </c>
      <c r="EJ31" s="32">
        <f t="shared" si="5"/>
        <v>0</v>
      </c>
      <c r="EK31" s="33"/>
      <c r="EL31" s="33"/>
      <c r="EM31" s="25"/>
    </row>
    <row r="32" spans="1:143" s="19" customFormat="1" ht="30" customHeight="1">
      <c r="A32" s="30"/>
      <c r="B32" s="67" t="s">
        <v>320</v>
      </c>
      <c r="C32" s="24" t="s">
        <v>169</v>
      </c>
      <c r="D32" s="26" t="s">
        <v>107</v>
      </c>
      <c r="E32" s="66" t="s">
        <v>108</v>
      </c>
      <c r="F32" s="48"/>
      <c r="G32" s="48"/>
      <c r="H32" s="31" t="s">
        <v>397</v>
      </c>
      <c r="I32" s="52">
        <v>8</v>
      </c>
      <c r="J32" s="52"/>
      <c r="K32" s="52"/>
      <c r="L32" s="52"/>
      <c r="M32" s="52">
        <v>8</v>
      </c>
      <c r="N32" s="52"/>
      <c r="O32" s="52"/>
      <c r="P32" s="52"/>
      <c r="Q32" s="52">
        <v>8</v>
      </c>
      <c r="R32" s="52">
        <v>3</v>
      </c>
      <c r="S32" s="52"/>
      <c r="T32" s="52"/>
      <c r="U32" s="52">
        <v>8</v>
      </c>
      <c r="V32" s="52"/>
      <c r="W32" s="52"/>
      <c r="X32" s="52"/>
      <c r="Y32" s="52">
        <v>8</v>
      </c>
      <c r="Z32" s="52">
        <v>3</v>
      </c>
      <c r="AA32" s="52"/>
      <c r="AB32" s="52"/>
      <c r="AC32" s="52">
        <v>8</v>
      </c>
      <c r="AD32" s="52"/>
      <c r="AE32" s="52"/>
      <c r="AF32" s="52"/>
      <c r="AG32" s="51"/>
      <c r="AH32" s="51"/>
      <c r="AI32" s="51"/>
      <c r="AJ32" s="51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1"/>
      <c r="BJ32" s="51"/>
      <c r="BK32" s="51"/>
      <c r="BL32" s="51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1"/>
      <c r="CL32" s="51"/>
      <c r="CM32" s="51"/>
      <c r="CN32" s="51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1"/>
      <c r="DN32" s="51"/>
      <c r="DO32" s="51"/>
      <c r="DP32" s="51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34">
        <f t="shared" si="0"/>
        <v>48</v>
      </c>
      <c r="ED32" s="34">
        <f t="shared" si="1"/>
        <v>6</v>
      </c>
      <c r="EE32" s="34">
        <f t="shared" si="2"/>
        <v>0</v>
      </c>
      <c r="EF32" s="34">
        <f t="shared" si="3"/>
        <v>0</v>
      </c>
      <c r="EG32" s="32">
        <f t="shared" si="5"/>
        <v>0</v>
      </c>
      <c r="EH32" s="32">
        <f t="shared" si="5"/>
        <v>0</v>
      </c>
      <c r="EI32" s="32">
        <f t="shared" si="5"/>
        <v>0</v>
      </c>
      <c r="EJ32" s="32">
        <f t="shared" si="5"/>
        <v>0</v>
      </c>
      <c r="EK32" s="33"/>
      <c r="EL32" s="33"/>
      <c r="EM32" s="25"/>
    </row>
    <row r="33" spans="1:143" s="19" customFormat="1" ht="30" customHeight="1">
      <c r="A33" s="30"/>
      <c r="B33" s="67" t="s">
        <v>321</v>
      </c>
      <c r="C33" s="24" t="s">
        <v>170</v>
      </c>
      <c r="D33" s="26" t="s">
        <v>103</v>
      </c>
      <c r="E33" s="66" t="s">
        <v>104</v>
      </c>
      <c r="F33" s="48"/>
      <c r="G33" s="48"/>
      <c r="H33" s="31" t="s">
        <v>397</v>
      </c>
      <c r="I33" s="52">
        <v>8</v>
      </c>
      <c r="J33" s="52"/>
      <c r="K33" s="52"/>
      <c r="L33" s="52"/>
      <c r="M33" s="52">
        <v>8</v>
      </c>
      <c r="N33" s="52"/>
      <c r="O33" s="52"/>
      <c r="P33" s="52"/>
      <c r="Q33" s="52">
        <v>8</v>
      </c>
      <c r="R33" s="52">
        <v>2</v>
      </c>
      <c r="S33" s="52"/>
      <c r="T33" s="52"/>
      <c r="U33" s="52">
        <v>8</v>
      </c>
      <c r="V33" s="52">
        <v>3</v>
      </c>
      <c r="W33" s="52"/>
      <c r="X33" s="52"/>
      <c r="Y33" s="52">
        <v>8</v>
      </c>
      <c r="Z33" s="52"/>
      <c r="AA33" s="52"/>
      <c r="AB33" s="52"/>
      <c r="AC33" s="52">
        <v>8</v>
      </c>
      <c r="AD33" s="52"/>
      <c r="AE33" s="52"/>
      <c r="AF33" s="52"/>
      <c r="AG33" s="51"/>
      <c r="AH33" s="51"/>
      <c r="AI33" s="51"/>
      <c r="AJ33" s="51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1"/>
      <c r="BJ33" s="51"/>
      <c r="BK33" s="51"/>
      <c r="BL33" s="51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1"/>
      <c r="CL33" s="51"/>
      <c r="CM33" s="51"/>
      <c r="CN33" s="51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1"/>
      <c r="DN33" s="51"/>
      <c r="DO33" s="51"/>
      <c r="DP33" s="51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34">
        <f t="shared" si="0"/>
        <v>48</v>
      </c>
      <c r="ED33" s="34">
        <f t="shared" si="1"/>
        <v>5</v>
      </c>
      <c r="EE33" s="34">
        <f t="shared" si="2"/>
        <v>0</v>
      </c>
      <c r="EF33" s="34">
        <f t="shared" si="3"/>
        <v>0</v>
      </c>
      <c r="EG33" s="32">
        <f t="shared" si="5"/>
        <v>0</v>
      </c>
      <c r="EH33" s="32">
        <f t="shared" si="5"/>
        <v>0</v>
      </c>
      <c r="EI33" s="32">
        <f t="shared" si="5"/>
        <v>0</v>
      </c>
      <c r="EJ33" s="32">
        <f t="shared" si="5"/>
        <v>0</v>
      </c>
      <c r="EK33" s="33"/>
      <c r="EL33" s="33"/>
      <c r="EM33" s="25"/>
    </row>
    <row r="34" spans="1:143" s="19" customFormat="1" ht="30" customHeight="1">
      <c r="A34" s="30"/>
      <c r="B34" s="67" t="s">
        <v>322</v>
      </c>
      <c r="C34" s="24" t="s">
        <v>166</v>
      </c>
      <c r="D34" s="26" t="s">
        <v>112</v>
      </c>
      <c r="E34" s="66" t="s">
        <v>228</v>
      </c>
      <c r="F34" s="48"/>
      <c r="G34" s="48"/>
      <c r="H34" s="31" t="s">
        <v>397</v>
      </c>
      <c r="I34" s="52">
        <v>8</v>
      </c>
      <c r="J34" s="52"/>
      <c r="K34" s="52"/>
      <c r="L34" s="52"/>
      <c r="M34" s="52">
        <v>8</v>
      </c>
      <c r="N34" s="52">
        <v>2</v>
      </c>
      <c r="O34" s="52"/>
      <c r="P34" s="52"/>
      <c r="Q34" s="52">
        <v>8</v>
      </c>
      <c r="R34" s="52">
        <v>2</v>
      </c>
      <c r="S34" s="52"/>
      <c r="T34" s="52"/>
      <c r="U34" s="52">
        <v>8</v>
      </c>
      <c r="V34" s="52">
        <v>2</v>
      </c>
      <c r="W34" s="52"/>
      <c r="X34" s="52"/>
      <c r="Y34" s="52">
        <v>8</v>
      </c>
      <c r="Z34" s="52">
        <v>2</v>
      </c>
      <c r="AA34" s="52"/>
      <c r="AB34" s="52"/>
      <c r="AC34" s="52">
        <v>8</v>
      </c>
      <c r="AD34" s="52"/>
      <c r="AE34" s="52"/>
      <c r="AF34" s="52"/>
      <c r="AG34" s="51"/>
      <c r="AH34" s="51"/>
      <c r="AI34" s="51"/>
      <c r="AJ34" s="51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1"/>
      <c r="BJ34" s="51"/>
      <c r="BK34" s="51"/>
      <c r="BL34" s="51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1"/>
      <c r="CL34" s="51"/>
      <c r="CM34" s="51"/>
      <c r="CN34" s="51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1"/>
      <c r="DN34" s="51"/>
      <c r="DO34" s="51"/>
      <c r="DP34" s="51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34">
        <f t="shared" si="0"/>
        <v>48</v>
      </c>
      <c r="ED34" s="34">
        <f t="shared" si="1"/>
        <v>8</v>
      </c>
      <c r="EE34" s="34">
        <f t="shared" si="2"/>
        <v>0</v>
      </c>
      <c r="EF34" s="34">
        <f t="shared" si="3"/>
        <v>0</v>
      </c>
      <c r="EG34" s="32">
        <f t="shared" si="5"/>
        <v>0</v>
      </c>
      <c r="EH34" s="32">
        <f t="shared" si="5"/>
        <v>0</v>
      </c>
      <c r="EI34" s="32">
        <f t="shared" si="5"/>
        <v>0</v>
      </c>
      <c r="EJ34" s="32">
        <f t="shared" si="5"/>
        <v>0</v>
      </c>
      <c r="EK34" s="33"/>
      <c r="EL34" s="33"/>
      <c r="EM34" s="25"/>
    </row>
    <row r="35" spans="1:143" s="19" customFormat="1" ht="30" customHeight="1">
      <c r="A35" s="30"/>
      <c r="B35" s="67" t="s">
        <v>323</v>
      </c>
      <c r="C35" s="24" t="s">
        <v>164</v>
      </c>
      <c r="D35" s="65" t="s">
        <v>251</v>
      </c>
      <c r="E35" s="66" t="s">
        <v>111</v>
      </c>
      <c r="F35" s="48"/>
      <c r="G35" s="48"/>
      <c r="H35" s="31" t="s">
        <v>397</v>
      </c>
      <c r="I35" s="52">
        <v>8</v>
      </c>
      <c r="J35" s="52">
        <v>2</v>
      </c>
      <c r="K35" s="52"/>
      <c r="L35" s="52"/>
      <c r="M35" s="52">
        <v>8</v>
      </c>
      <c r="N35" s="52">
        <v>3</v>
      </c>
      <c r="O35" s="52"/>
      <c r="P35" s="52"/>
      <c r="Q35" s="52">
        <v>8</v>
      </c>
      <c r="R35" s="52">
        <v>3</v>
      </c>
      <c r="S35" s="52"/>
      <c r="T35" s="52"/>
      <c r="U35" s="52">
        <v>8</v>
      </c>
      <c r="V35" s="52">
        <v>3</v>
      </c>
      <c r="W35" s="52"/>
      <c r="X35" s="52"/>
      <c r="Y35" s="52">
        <v>8</v>
      </c>
      <c r="Z35" s="52">
        <v>2</v>
      </c>
      <c r="AA35" s="52"/>
      <c r="AB35" s="52"/>
      <c r="AC35" s="52">
        <v>8</v>
      </c>
      <c r="AD35" s="52"/>
      <c r="AE35" s="52"/>
      <c r="AF35" s="52"/>
      <c r="AG35" s="51"/>
      <c r="AH35" s="51"/>
      <c r="AI35" s="51"/>
      <c r="AJ35" s="51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1"/>
      <c r="BJ35" s="51"/>
      <c r="BK35" s="51"/>
      <c r="BL35" s="51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1"/>
      <c r="CL35" s="51"/>
      <c r="CM35" s="51"/>
      <c r="CN35" s="51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1"/>
      <c r="DN35" s="51"/>
      <c r="DO35" s="51"/>
      <c r="DP35" s="51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34">
        <f t="shared" ref="EC35:EC62" si="6">SUMIF($I$10:$EB$10,$EC$10,I35:EB35)</f>
        <v>48</v>
      </c>
      <c r="ED35" s="34">
        <f t="shared" si="1"/>
        <v>13</v>
      </c>
      <c r="EE35" s="34">
        <f t="shared" ref="EE35:EE62" si="7">SUMIF($I$10:$EB$10,$EE$10,I35:EB35)</f>
        <v>0</v>
      </c>
      <c r="EF35" s="34">
        <f t="shared" ref="EF35:EF62" si="8">SUMIF($I$10:$EB$10,$EF$10,I35:EB35)</f>
        <v>0</v>
      </c>
      <c r="EG35" s="32">
        <f t="shared" si="5"/>
        <v>0</v>
      </c>
      <c r="EH35" s="32">
        <f t="shared" si="5"/>
        <v>0</v>
      </c>
      <c r="EI35" s="32">
        <f t="shared" si="5"/>
        <v>0</v>
      </c>
      <c r="EJ35" s="32">
        <f t="shared" si="5"/>
        <v>0</v>
      </c>
      <c r="EK35" s="33"/>
      <c r="EL35" s="33"/>
      <c r="EM35" s="25"/>
    </row>
    <row r="36" spans="1:143" s="19" customFormat="1" ht="30" customHeight="1">
      <c r="A36" s="30"/>
      <c r="B36" s="67" t="s">
        <v>324</v>
      </c>
      <c r="C36" s="24" t="s">
        <v>165</v>
      </c>
      <c r="D36" s="26" t="s">
        <v>252</v>
      </c>
      <c r="E36" s="66" t="s">
        <v>105</v>
      </c>
      <c r="F36" s="48"/>
      <c r="G36" s="48"/>
      <c r="H36" s="31" t="s">
        <v>397</v>
      </c>
      <c r="I36" s="52">
        <v>8</v>
      </c>
      <c r="J36" s="52"/>
      <c r="K36" s="52"/>
      <c r="L36" s="52"/>
      <c r="M36" s="52">
        <v>8</v>
      </c>
      <c r="N36" s="52"/>
      <c r="O36" s="52"/>
      <c r="P36" s="52"/>
      <c r="Q36" s="52">
        <v>8</v>
      </c>
      <c r="R36" s="52"/>
      <c r="S36" s="52"/>
      <c r="T36" s="52"/>
      <c r="U36" s="52">
        <v>8</v>
      </c>
      <c r="V36" s="52"/>
      <c r="W36" s="52"/>
      <c r="X36" s="52"/>
      <c r="Y36" s="52">
        <v>8</v>
      </c>
      <c r="Z36" s="52"/>
      <c r="AA36" s="52"/>
      <c r="AB36" s="52"/>
      <c r="AC36" s="52">
        <v>8</v>
      </c>
      <c r="AD36" s="52"/>
      <c r="AE36" s="52"/>
      <c r="AF36" s="52"/>
      <c r="AG36" s="51"/>
      <c r="AH36" s="51"/>
      <c r="AI36" s="51"/>
      <c r="AJ36" s="51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1"/>
      <c r="BJ36" s="51"/>
      <c r="BK36" s="51"/>
      <c r="BL36" s="51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1"/>
      <c r="CL36" s="51"/>
      <c r="CM36" s="51"/>
      <c r="CN36" s="51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1"/>
      <c r="DN36" s="51"/>
      <c r="DO36" s="51"/>
      <c r="DP36" s="51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34">
        <f t="shared" si="6"/>
        <v>48</v>
      </c>
      <c r="ED36" s="34">
        <f t="shared" si="1"/>
        <v>0</v>
      </c>
      <c r="EE36" s="34">
        <f t="shared" si="7"/>
        <v>0</v>
      </c>
      <c r="EF36" s="34">
        <f t="shared" si="8"/>
        <v>0</v>
      </c>
      <c r="EG36" s="32">
        <f t="shared" si="5"/>
        <v>0</v>
      </c>
      <c r="EH36" s="32">
        <f t="shared" si="5"/>
        <v>0</v>
      </c>
      <c r="EI36" s="32">
        <f t="shared" si="5"/>
        <v>0</v>
      </c>
      <c r="EJ36" s="32">
        <f t="shared" si="5"/>
        <v>0</v>
      </c>
      <c r="EK36" s="33"/>
      <c r="EL36" s="33"/>
      <c r="EM36" s="25"/>
    </row>
    <row r="37" spans="1:143" s="19" customFormat="1" ht="30" customHeight="1">
      <c r="A37" s="30"/>
      <c r="B37" s="67" t="s">
        <v>325</v>
      </c>
      <c r="C37" s="24" t="s">
        <v>232</v>
      </c>
      <c r="D37" s="26" t="s">
        <v>134</v>
      </c>
      <c r="E37" s="66" t="s">
        <v>135</v>
      </c>
      <c r="F37" s="48"/>
      <c r="G37" s="48"/>
      <c r="H37" s="31" t="s">
        <v>397</v>
      </c>
      <c r="I37" s="52">
        <v>8</v>
      </c>
      <c r="J37" s="52"/>
      <c r="K37" s="52"/>
      <c r="L37" s="52"/>
      <c r="M37" s="52">
        <v>8</v>
      </c>
      <c r="N37" s="52">
        <v>3</v>
      </c>
      <c r="O37" s="52"/>
      <c r="P37" s="52"/>
      <c r="Q37" s="52">
        <v>8</v>
      </c>
      <c r="R37" s="52">
        <v>3</v>
      </c>
      <c r="S37" s="52"/>
      <c r="T37" s="52"/>
      <c r="U37" s="52">
        <v>8</v>
      </c>
      <c r="V37" s="52"/>
      <c r="W37" s="52"/>
      <c r="X37" s="52"/>
      <c r="Y37" s="52">
        <v>8</v>
      </c>
      <c r="Z37" s="52"/>
      <c r="AA37" s="52"/>
      <c r="AB37" s="52"/>
      <c r="AC37" s="52"/>
      <c r="AD37" s="52"/>
      <c r="AE37" s="52"/>
      <c r="AF37" s="52"/>
      <c r="AG37" s="51"/>
      <c r="AH37" s="51"/>
      <c r="AI37" s="51"/>
      <c r="AJ37" s="51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1"/>
      <c r="BJ37" s="51"/>
      <c r="BK37" s="51"/>
      <c r="BL37" s="51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1"/>
      <c r="DN37" s="51"/>
      <c r="DO37" s="51"/>
      <c r="DP37" s="51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34">
        <f t="shared" si="6"/>
        <v>40</v>
      </c>
      <c r="ED37" s="34">
        <f t="shared" si="1"/>
        <v>6</v>
      </c>
      <c r="EE37" s="34">
        <f t="shared" si="7"/>
        <v>0</v>
      </c>
      <c r="EF37" s="34">
        <f t="shared" si="8"/>
        <v>0</v>
      </c>
      <c r="EG37" s="32">
        <f t="shared" si="5"/>
        <v>0</v>
      </c>
      <c r="EH37" s="32">
        <f t="shared" si="5"/>
        <v>0</v>
      </c>
      <c r="EI37" s="32">
        <f t="shared" si="5"/>
        <v>0</v>
      </c>
      <c r="EJ37" s="32">
        <f t="shared" si="5"/>
        <v>0</v>
      </c>
      <c r="EK37" s="33"/>
      <c r="EL37" s="33"/>
      <c r="EM37" s="25"/>
    </row>
    <row r="38" spans="1:143" s="19" customFormat="1" ht="30" customHeight="1">
      <c r="A38" s="30"/>
      <c r="B38" s="67" t="s">
        <v>399</v>
      </c>
      <c r="C38" s="24" t="s">
        <v>250</v>
      </c>
      <c r="D38" s="26" t="s">
        <v>128</v>
      </c>
      <c r="E38" s="66" t="s">
        <v>129</v>
      </c>
      <c r="F38" s="48"/>
      <c r="G38" s="48"/>
      <c r="H38" s="31" t="s">
        <v>397</v>
      </c>
      <c r="I38" s="52">
        <v>8</v>
      </c>
      <c r="J38" s="52">
        <v>4</v>
      </c>
      <c r="K38" s="52"/>
      <c r="L38" s="52"/>
      <c r="M38" s="52">
        <v>8</v>
      </c>
      <c r="N38" s="52">
        <v>4</v>
      </c>
      <c r="O38" s="52"/>
      <c r="P38" s="52"/>
      <c r="Q38" s="52">
        <v>8</v>
      </c>
      <c r="R38" s="52">
        <v>4</v>
      </c>
      <c r="S38" s="52"/>
      <c r="T38" s="52"/>
      <c r="U38" s="52">
        <v>8</v>
      </c>
      <c r="V38" s="52">
        <v>4</v>
      </c>
      <c r="W38" s="52"/>
      <c r="X38" s="52"/>
      <c r="Y38" s="52">
        <v>8</v>
      </c>
      <c r="Z38" s="52">
        <v>4</v>
      </c>
      <c r="AA38" s="52"/>
      <c r="AB38" s="52"/>
      <c r="AC38" s="52">
        <v>8</v>
      </c>
      <c r="AD38" s="52">
        <v>3</v>
      </c>
      <c r="AE38" s="52"/>
      <c r="AF38" s="52"/>
      <c r="AG38" s="51"/>
      <c r="AH38" s="51"/>
      <c r="AI38" s="51"/>
      <c r="AJ38" s="51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1"/>
      <c r="BJ38" s="51"/>
      <c r="BK38" s="51"/>
      <c r="BL38" s="51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1"/>
      <c r="CL38" s="51"/>
      <c r="CM38" s="51"/>
      <c r="CN38" s="51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1"/>
      <c r="DN38" s="51"/>
      <c r="DO38" s="51"/>
      <c r="DP38" s="51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34">
        <f t="shared" si="6"/>
        <v>48</v>
      </c>
      <c r="ED38" s="34">
        <f t="shared" si="1"/>
        <v>23</v>
      </c>
      <c r="EE38" s="34">
        <f t="shared" si="7"/>
        <v>0</v>
      </c>
      <c r="EF38" s="34">
        <f t="shared" si="8"/>
        <v>0</v>
      </c>
      <c r="EG38" s="32">
        <f t="shared" si="5"/>
        <v>0</v>
      </c>
      <c r="EH38" s="32">
        <f t="shared" si="5"/>
        <v>0</v>
      </c>
      <c r="EI38" s="32">
        <f t="shared" si="5"/>
        <v>0</v>
      </c>
      <c r="EJ38" s="32">
        <f t="shared" si="5"/>
        <v>0</v>
      </c>
      <c r="EK38" s="33"/>
      <c r="EL38" s="33"/>
      <c r="EM38" s="25"/>
    </row>
    <row r="39" spans="1:143" s="19" customFormat="1" ht="30" customHeight="1">
      <c r="A39" s="30"/>
      <c r="B39" s="67" t="s">
        <v>326</v>
      </c>
      <c r="C39" s="24" t="s">
        <v>240</v>
      </c>
      <c r="D39" s="26" t="s">
        <v>143</v>
      </c>
      <c r="E39" s="66" t="s">
        <v>144</v>
      </c>
      <c r="F39" s="48"/>
      <c r="G39" s="48"/>
      <c r="H39" s="31" t="s">
        <v>397</v>
      </c>
      <c r="I39" s="52">
        <v>8</v>
      </c>
      <c r="J39" s="52"/>
      <c r="K39" s="52"/>
      <c r="L39" s="52"/>
      <c r="M39" s="52">
        <v>8</v>
      </c>
      <c r="N39" s="52"/>
      <c r="O39" s="52"/>
      <c r="P39" s="52"/>
      <c r="Q39" s="52">
        <v>8</v>
      </c>
      <c r="R39" s="52">
        <v>3</v>
      </c>
      <c r="S39" s="52"/>
      <c r="T39" s="52"/>
      <c r="U39" s="52">
        <v>8</v>
      </c>
      <c r="V39" s="52"/>
      <c r="W39" s="52"/>
      <c r="X39" s="52"/>
      <c r="Y39" s="52">
        <v>8</v>
      </c>
      <c r="Z39" s="52"/>
      <c r="AA39" s="52"/>
      <c r="AB39" s="52"/>
      <c r="AC39" s="52">
        <v>8</v>
      </c>
      <c r="AD39" s="52"/>
      <c r="AE39" s="52"/>
      <c r="AF39" s="52"/>
      <c r="AG39" s="51"/>
      <c r="AH39" s="51"/>
      <c r="AI39" s="51"/>
      <c r="AJ39" s="51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1"/>
      <c r="BJ39" s="51"/>
      <c r="BK39" s="51"/>
      <c r="BL39" s="51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1"/>
      <c r="CL39" s="51"/>
      <c r="CM39" s="51"/>
      <c r="CN39" s="51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1"/>
      <c r="DN39" s="51"/>
      <c r="DO39" s="51"/>
      <c r="DP39" s="51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34">
        <f t="shared" si="6"/>
        <v>48</v>
      </c>
      <c r="ED39" s="34">
        <f t="shared" si="1"/>
        <v>3</v>
      </c>
      <c r="EE39" s="34">
        <f t="shared" si="7"/>
        <v>0</v>
      </c>
      <c r="EF39" s="34">
        <f t="shared" si="8"/>
        <v>0</v>
      </c>
      <c r="EG39" s="32">
        <f t="shared" si="5"/>
        <v>0</v>
      </c>
      <c r="EH39" s="32">
        <f t="shared" si="5"/>
        <v>0</v>
      </c>
      <c r="EI39" s="32">
        <f t="shared" si="5"/>
        <v>0</v>
      </c>
      <c r="EJ39" s="32">
        <f t="shared" si="5"/>
        <v>0</v>
      </c>
      <c r="EK39" s="33"/>
      <c r="EL39" s="33"/>
      <c r="EM39" s="25"/>
    </row>
    <row r="40" spans="1:143" s="19" customFormat="1" ht="30" customHeight="1">
      <c r="A40" s="30"/>
      <c r="B40" s="67" t="s">
        <v>327</v>
      </c>
      <c r="C40" s="24" t="s">
        <v>163</v>
      </c>
      <c r="D40" s="65" t="s">
        <v>136</v>
      </c>
      <c r="E40" s="25" t="s">
        <v>111</v>
      </c>
      <c r="F40" s="48"/>
      <c r="G40" s="48"/>
      <c r="H40" s="31" t="s">
        <v>397</v>
      </c>
      <c r="I40" s="52">
        <v>8</v>
      </c>
      <c r="J40" s="52"/>
      <c r="K40" s="52"/>
      <c r="L40" s="52"/>
      <c r="M40" s="52">
        <v>8</v>
      </c>
      <c r="N40" s="52">
        <v>3</v>
      </c>
      <c r="O40" s="52"/>
      <c r="P40" s="52"/>
      <c r="Q40" s="52">
        <v>8</v>
      </c>
      <c r="R40" s="52">
        <v>4</v>
      </c>
      <c r="S40" s="52"/>
      <c r="T40" s="52"/>
      <c r="U40" s="52">
        <v>8</v>
      </c>
      <c r="V40" s="52">
        <v>4</v>
      </c>
      <c r="W40" s="52"/>
      <c r="X40" s="52"/>
      <c r="Y40" s="52">
        <v>8</v>
      </c>
      <c r="Z40" s="52"/>
      <c r="AA40" s="52"/>
      <c r="AB40" s="52"/>
      <c r="AC40" s="52">
        <v>8</v>
      </c>
      <c r="AD40" s="52"/>
      <c r="AE40" s="52"/>
      <c r="AF40" s="52"/>
      <c r="AG40" s="51"/>
      <c r="AH40" s="51"/>
      <c r="AI40" s="51"/>
      <c r="AJ40" s="51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1"/>
      <c r="BJ40" s="51"/>
      <c r="BK40" s="51"/>
      <c r="BL40" s="51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1"/>
      <c r="CL40" s="51"/>
      <c r="CM40" s="51"/>
      <c r="CN40" s="51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1"/>
      <c r="DN40" s="51"/>
      <c r="DO40" s="51"/>
      <c r="DP40" s="51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34">
        <f t="shared" si="6"/>
        <v>48</v>
      </c>
      <c r="ED40" s="34">
        <f t="shared" si="1"/>
        <v>11</v>
      </c>
      <c r="EE40" s="34">
        <f t="shared" si="7"/>
        <v>0</v>
      </c>
      <c r="EF40" s="34">
        <f t="shared" si="8"/>
        <v>0</v>
      </c>
      <c r="EG40" s="32">
        <f t="shared" si="5"/>
        <v>0</v>
      </c>
      <c r="EH40" s="32">
        <f t="shared" si="5"/>
        <v>0</v>
      </c>
      <c r="EI40" s="32">
        <f t="shared" si="5"/>
        <v>0</v>
      </c>
      <c r="EJ40" s="32">
        <f t="shared" si="5"/>
        <v>0</v>
      </c>
      <c r="EK40" s="33"/>
      <c r="EL40" s="33"/>
      <c r="EM40" s="25"/>
    </row>
    <row r="41" spans="1:143" s="19" customFormat="1" ht="30" customHeight="1">
      <c r="A41" s="30"/>
      <c r="B41" s="67" t="s">
        <v>328</v>
      </c>
      <c r="C41" s="24" t="s">
        <v>248</v>
      </c>
      <c r="D41" s="26" t="s">
        <v>160</v>
      </c>
      <c r="E41" s="66" t="s">
        <v>161</v>
      </c>
      <c r="F41" s="48"/>
      <c r="G41" s="48"/>
      <c r="H41" s="31" t="s">
        <v>397</v>
      </c>
      <c r="I41" s="52">
        <v>8</v>
      </c>
      <c r="J41" s="52"/>
      <c r="K41" s="52"/>
      <c r="L41" s="52"/>
      <c r="M41" s="52">
        <v>8</v>
      </c>
      <c r="N41" s="52">
        <v>3</v>
      </c>
      <c r="O41" s="52"/>
      <c r="P41" s="52"/>
      <c r="Q41" s="52">
        <v>8</v>
      </c>
      <c r="R41" s="52">
        <v>3</v>
      </c>
      <c r="S41" s="52"/>
      <c r="T41" s="52"/>
      <c r="U41" s="52">
        <v>8</v>
      </c>
      <c r="V41" s="52"/>
      <c r="W41" s="52"/>
      <c r="X41" s="52"/>
      <c r="Y41" s="52">
        <v>8</v>
      </c>
      <c r="Z41" s="52">
        <v>3</v>
      </c>
      <c r="AA41" s="52"/>
      <c r="AB41" s="52"/>
      <c r="AC41" s="52">
        <v>8</v>
      </c>
      <c r="AD41" s="52"/>
      <c r="AE41" s="52"/>
      <c r="AF41" s="52"/>
      <c r="AG41" s="51"/>
      <c r="AH41" s="51"/>
      <c r="AI41" s="51"/>
      <c r="AJ41" s="51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1"/>
      <c r="BJ41" s="51"/>
      <c r="BK41" s="51"/>
      <c r="BL41" s="51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1"/>
      <c r="CL41" s="51"/>
      <c r="CM41" s="51"/>
      <c r="CN41" s="51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1"/>
      <c r="DN41" s="51"/>
      <c r="DO41" s="51"/>
      <c r="DP41" s="51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34">
        <f t="shared" si="6"/>
        <v>48</v>
      </c>
      <c r="ED41" s="34">
        <f t="shared" si="1"/>
        <v>9</v>
      </c>
      <c r="EE41" s="34">
        <f t="shared" si="7"/>
        <v>0</v>
      </c>
      <c r="EF41" s="34">
        <f t="shared" si="8"/>
        <v>0</v>
      </c>
      <c r="EG41" s="32">
        <f t="shared" si="5"/>
        <v>0</v>
      </c>
      <c r="EH41" s="32">
        <f t="shared" si="5"/>
        <v>0</v>
      </c>
      <c r="EI41" s="32">
        <f t="shared" si="5"/>
        <v>0</v>
      </c>
      <c r="EJ41" s="32">
        <f t="shared" si="5"/>
        <v>0</v>
      </c>
      <c r="EK41" s="33"/>
      <c r="EL41" s="33"/>
      <c r="EM41" s="25"/>
    </row>
    <row r="42" spans="1:143" s="19" customFormat="1" ht="30" customHeight="1">
      <c r="A42" s="30"/>
      <c r="B42" s="67" t="s">
        <v>329</v>
      </c>
      <c r="C42" s="24" t="s">
        <v>389</v>
      </c>
      <c r="D42" s="26" t="s">
        <v>130</v>
      </c>
      <c r="E42" s="66" t="s">
        <v>131</v>
      </c>
      <c r="F42" s="48"/>
      <c r="G42" s="48"/>
      <c r="H42" s="31" t="s">
        <v>397</v>
      </c>
      <c r="I42" s="52">
        <v>8</v>
      </c>
      <c r="J42" s="52"/>
      <c r="K42" s="52"/>
      <c r="L42" s="52"/>
      <c r="M42" s="52">
        <v>8</v>
      </c>
      <c r="N42" s="52">
        <v>2</v>
      </c>
      <c r="O42" s="52"/>
      <c r="P42" s="52"/>
      <c r="Q42" s="52">
        <v>8</v>
      </c>
      <c r="R42" s="52"/>
      <c r="S42" s="52"/>
      <c r="T42" s="52"/>
      <c r="U42" s="52">
        <v>8</v>
      </c>
      <c r="V42" s="52">
        <v>2</v>
      </c>
      <c r="W42" s="52"/>
      <c r="X42" s="52"/>
      <c r="Y42" s="52">
        <v>8</v>
      </c>
      <c r="Z42" s="52">
        <v>2</v>
      </c>
      <c r="AA42" s="52"/>
      <c r="AB42" s="52"/>
      <c r="AC42" s="52"/>
      <c r="AD42" s="52"/>
      <c r="AE42" s="52"/>
      <c r="AF42" s="52"/>
      <c r="AG42" s="51"/>
      <c r="AH42" s="51"/>
      <c r="AI42" s="51"/>
      <c r="AJ42" s="51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1"/>
      <c r="BJ42" s="51"/>
      <c r="BK42" s="51"/>
      <c r="BL42" s="51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1"/>
      <c r="CL42" s="51"/>
      <c r="CM42" s="51"/>
      <c r="CN42" s="51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1"/>
      <c r="DN42" s="51"/>
      <c r="DO42" s="51"/>
      <c r="DP42" s="51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34">
        <f t="shared" si="6"/>
        <v>40</v>
      </c>
      <c r="ED42" s="34">
        <f t="shared" si="1"/>
        <v>6</v>
      </c>
      <c r="EE42" s="34">
        <f t="shared" si="7"/>
        <v>0</v>
      </c>
      <c r="EF42" s="34">
        <f t="shared" si="8"/>
        <v>0</v>
      </c>
      <c r="EG42" s="32">
        <f t="shared" ref="EG42:EJ58" si="9">SUMIF($I$10:$EB$10,EG$10,$I42:$EB42)</f>
        <v>0</v>
      </c>
      <c r="EH42" s="32">
        <f t="shared" si="9"/>
        <v>0</v>
      </c>
      <c r="EI42" s="32">
        <f t="shared" si="9"/>
        <v>0</v>
      </c>
      <c r="EJ42" s="32">
        <f t="shared" si="9"/>
        <v>0</v>
      </c>
      <c r="EK42" s="33"/>
      <c r="EL42" s="33"/>
      <c r="EM42" s="25"/>
    </row>
    <row r="43" spans="1:143" s="19" customFormat="1" ht="30" customHeight="1">
      <c r="A43" s="30"/>
      <c r="B43" s="67" t="s">
        <v>400</v>
      </c>
      <c r="C43" s="24" t="s">
        <v>233</v>
      </c>
      <c r="D43" s="26" t="s">
        <v>137</v>
      </c>
      <c r="E43" s="66" t="s">
        <v>138</v>
      </c>
      <c r="F43" s="48"/>
      <c r="G43" s="48"/>
      <c r="H43" s="31" t="s">
        <v>397</v>
      </c>
      <c r="I43" s="52">
        <v>8</v>
      </c>
      <c r="J43" s="52"/>
      <c r="K43" s="52"/>
      <c r="L43" s="52"/>
      <c r="M43" s="52">
        <v>8</v>
      </c>
      <c r="N43" s="52">
        <v>3</v>
      </c>
      <c r="O43" s="52"/>
      <c r="P43" s="52"/>
      <c r="Q43" s="52">
        <v>8</v>
      </c>
      <c r="R43" s="52">
        <v>3</v>
      </c>
      <c r="S43" s="52"/>
      <c r="T43" s="52"/>
      <c r="U43" s="52">
        <v>8</v>
      </c>
      <c r="V43" s="52">
        <v>3</v>
      </c>
      <c r="W43" s="52"/>
      <c r="X43" s="52"/>
      <c r="Y43" s="52">
        <v>7.5</v>
      </c>
      <c r="Z43" s="52">
        <v>2</v>
      </c>
      <c r="AA43" s="52"/>
      <c r="AB43" s="52"/>
      <c r="AC43" s="52">
        <v>8</v>
      </c>
      <c r="AD43" s="52"/>
      <c r="AE43" s="52"/>
      <c r="AF43" s="52"/>
      <c r="AG43" s="51"/>
      <c r="AH43" s="51"/>
      <c r="AI43" s="51"/>
      <c r="AJ43" s="51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1"/>
      <c r="BJ43" s="51"/>
      <c r="BK43" s="51"/>
      <c r="BL43" s="51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1"/>
      <c r="CL43" s="51"/>
      <c r="CM43" s="51"/>
      <c r="CN43" s="51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1"/>
      <c r="DN43" s="51"/>
      <c r="DO43" s="51"/>
      <c r="DP43" s="51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34">
        <f t="shared" si="6"/>
        <v>47.5</v>
      </c>
      <c r="ED43" s="34">
        <f t="shared" si="1"/>
        <v>11</v>
      </c>
      <c r="EE43" s="34">
        <f t="shared" si="7"/>
        <v>0</v>
      </c>
      <c r="EF43" s="34">
        <f t="shared" si="8"/>
        <v>0</v>
      </c>
      <c r="EG43" s="32">
        <f t="shared" si="9"/>
        <v>0</v>
      </c>
      <c r="EH43" s="32">
        <f t="shared" si="9"/>
        <v>0</v>
      </c>
      <c r="EI43" s="32">
        <f t="shared" si="9"/>
        <v>0</v>
      </c>
      <c r="EJ43" s="32">
        <f t="shared" si="9"/>
        <v>0</v>
      </c>
      <c r="EK43" s="33"/>
      <c r="EL43" s="33"/>
      <c r="EM43" s="25"/>
    </row>
    <row r="44" spans="1:143" s="19" customFormat="1" ht="30" customHeight="1">
      <c r="A44" s="30"/>
      <c r="B44" s="67" t="s">
        <v>330</v>
      </c>
      <c r="C44" s="24" t="s">
        <v>234</v>
      </c>
      <c r="D44" s="26" t="s">
        <v>120</v>
      </c>
      <c r="E44" s="66" t="s">
        <v>121</v>
      </c>
      <c r="F44" s="48"/>
      <c r="G44" s="48"/>
      <c r="H44" s="31" t="s">
        <v>397</v>
      </c>
      <c r="I44" s="52">
        <v>8</v>
      </c>
      <c r="J44" s="52"/>
      <c r="K44" s="52"/>
      <c r="L44" s="52"/>
      <c r="M44" s="52">
        <v>8</v>
      </c>
      <c r="N44" s="52">
        <v>3</v>
      </c>
      <c r="O44" s="52"/>
      <c r="P44" s="52"/>
      <c r="Q44" s="52">
        <v>8</v>
      </c>
      <c r="R44" s="52">
        <v>4</v>
      </c>
      <c r="S44" s="52"/>
      <c r="T44" s="52"/>
      <c r="U44" s="52">
        <v>8</v>
      </c>
      <c r="V44" s="52">
        <v>3</v>
      </c>
      <c r="W44" s="52"/>
      <c r="X44" s="52"/>
      <c r="Y44" s="52">
        <v>8</v>
      </c>
      <c r="Z44" s="52"/>
      <c r="AA44" s="52"/>
      <c r="AB44" s="52"/>
      <c r="AC44" s="52">
        <v>8</v>
      </c>
      <c r="AD44" s="52"/>
      <c r="AE44" s="52"/>
      <c r="AF44" s="52"/>
      <c r="AG44" s="51"/>
      <c r="AH44" s="51"/>
      <c r="AI44" s="51"/>
      <c r="AJ44" s="51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1"/>
      <c r="BJ44" s="51"/>
      <c r="BK44" s="51"/>
      <c r="BL44" s="51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1"/>
      <c r="CL44" s="51"/>
      <c r="CM44" s="51"/>
      <c r="CN44" s="51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1"/>
      <c r="DN44" s="51"/>
      <c r="DO44" s="51"/>
      <c r="DP44" s="51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34">
        <f t="shared" si="6"/>
        <v>48</v>
      </c>
      <c r="ED44" s="34">
        <f t="shared" si="1"/>
        <v>10</v>
      </c>
      <c r="EE44" s="34">
        <f t="shared" si="7"/>
        <v>0</v>
      </c>
      <c r="EF44" s="34">
        <f t="shared" si="8"/>
        <v>0</v>
      </c>
      <c r="EG44" s="32">
        <f t="shared" si="9"/>
        <v>0</v>
      </c>
      <c r="EH44" s="32">
        <f t="shared" si="9"/>
        <v>0</v>
      </c>
      <c r="EI44" s="32">
        <f t="shared" si="9"/>
        <v>0</v>
      </c>
      <c r="EJ44" s="32">
        <f t="shared" si="9"/>
        <v>0</v>
      </c>
      <c r="EK44" s="33"/>
      <c r="EL44" s="33"/>
      <c r="EM44" s="25"/>
    </row>
    <row r="45" spans="1:143" s="19" customFormat="1" ht="30" customHeight="1">
      <c r="A45" s="30"/>
      <c r="B45" s="67" t="s">
        <v>331</v>
      </c>
      <c r="C45" s="24" t="s">
        <v>235</v>
      </c>
      <c r="D45" s="26" t="s">
        <v>145</v>
      </c>
      <c r="E45" s="66" t="s">
        <v>146</v>
      </c>
      <c r="F45" s="48"/>
      <c r="G45" s="48"/>
      <c r="H45" s="31" t="s">
        <v>397</v>
      </c>
      <c r="I45" s="52">
        <v>8</v>
      </c>
      <c r="J45" s="52"/>
      <c r="K45" s="52"/>
      <c r="L45" s="52"/>
      <c r="M45" s="52">
        <v>8</v>
      </c>
      <c r="N45" s="52"/>
      <c r="O45" s="52"/>
      <c r="P45" s="52"/>
      <c r="Q45" s="52">
        <v>8</v>
      </c>
      <c r="R45" s="52">
        <v>3</v>
      </c>
      <c r="S45" s="52"/>
      <c r="T45" s="52"/>
      <c r="U45" s="52">
        <v>8</v>
      </c>
      <c r="V45" s="52"/>
      <c r="W45" s="52"/>
      <c r="X45" s="52"/>
      <c r="Y45" s="52">
        <v>8</v>
      </c>
      <c r="Z45" s="52"/>
      <c r="AA45" s="52"/>
      <c r="AB45" s="52"/>
      <c r="AC45" s="52">
        <v>8</v>
      </c>
      <c r="AD45" s="52"/>
      <c r="AE45" s="52"/>
      <c r="AF45" s="52"/>
      <c r="AG45" s="51"/>
      <c r="AH45" s="51"/>
      <c r="AI45" s="51"/>
      <c r="AJ45" s="51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1"/>
      <c r="BJ45" s="51"/>
      <c r="BK45" s="51"/>
      <c r="BL45" s="51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1"/>
      <c r="CL45" s="51"/>
      <c r="CM45" s="51"/>
      <c r="CN45" s="51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1"/>
      <c r="DN45" s="51"/>
      <c r="DO45" s="51"/>
      <c r="DP45" s="51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34">
        <f t="shared" si="6"/>
        <v>48</v>
      </c>
      <c r="ED45" s="34">
        <v>4</v>
      </c>
      <c r="EE45" s="34">
        <f t="shared" si="7"/>
        <v>0</v>
      </c>
      <c r="EF45" s="34">
        <f t="shared" si="8"/>
        <v>0</v>
      </c>
      <c r="EG45" s="32">
        <f t="shared" si="9"/>
        <v>0</v>
      </c>
      <c r="EH45" s="32">
        <f t="shared" si="9"/>
        <v>0</v>
      </c>
      <c r="EI45" s="32">
        <f t="shared" si="9"/>
        <v>0</v>
      </c>
      <c r="EJ45" s="32">
        <f t="shared" si="9"/>
        <v>0</v>
      </c>
      <c r="EK45" s="33"/>
      <c r="EL45" s="33"/>
      <c r="EM45" s="25"/>
    </row>
    <row r="46" spans="1:143" s="19" customFormat="1" ht="30" customHeight="1">
      <c r="A46" s="30"/>
      <c r="B46" s="67" t="s">
        <v>332</v>
      </c>
      <c r="C46" s="24" t="s">
        <v>236</v>
      </c>
      <c r="D46" s="64" t="s">
        <v>152</v>
      </c>
      <c r="E46" s="77" t="s">
        <v>153</v>
      </c>
      <c r="F46" s="48"/>
      <c r="G46" s="48"/>
      <c r="H46" s="31" t="s">
        <v>397</v>
      </c>
      <c r="I46" s="52">
        <v>8</v>
      </c>
      <c r="J46" s="52"/>
      <c r="K46" s="52"/>
      <c r="L46" s="52"/>
      <c r="M46" s="52">
        <v>8</v>
      </c>
      <c r="N46" s="52">
        <v>3</v>
      </c>
      <c r="O46" s="52"/>
      <c r="P46" s="52"/>
      <c r="Q46" s="52">
        <v>8</v>
      </c>
      <c r="R46" s="52">
        <v>3</v>
      </c>
      <c r="S46" s="52"/>
      <c r="T46" s="52"/>
      <c r="U46" s="52">
        <v>8</v>
      </c>
      <c r="V46" s="52"/>
      <c r="W46" s="52"/>
      <c r="X46" s="52"/>
      <c r="Y46" s="52">
        <v>4</v>
      </c>
      <c r="Z46" s="52"/>
      <c r="AA46" s="52"/>
      <c r="AB46" s="52"/>
      <c r="AC46" s="52">
        <v>8</v>
      </c>
      <c r="AD46" s="52"/>
      <c r="AE46" s="52"/>
      <c r="AF46" s="52"/>
      <c r="AG46" s="51"/>
      <c r="AH46" s="51"/>
      <c r="AI46" s="51"/>
      <c r="AJ46" s="51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1"/>
      <c r="BJ46" s="51"/>
      <c r="BK46" s="51"/>
      <c r="BL46" s="51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1"/>
      <c r="CL46" s="51"/>
      <c r="CM46" s="51"/>
      <c r="CN46" s="51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1"/>
      <c r="DN46" s="51"/>
      <c r="DO46" s="51"/>
      <c r="DP46" s="51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34">
        <f t="shared" si="6"/>
        <v>44</v>
      </c>
      <c r="ED46" s="34">
        <f t="shared" ref="ED46:ED84" si="10">SUMIF($I$10:$EB$10,$ED$10,I46:EB46)</f>
        <v>6</v>
      </c>
      <c r="EE46" s="34">
        <f t="shared" si="7"/>
        <v>0</v>
      </c>
      <c r="EF46" s="34">
        <f t="shared" si="8"/>
        <v>0</v>
      </c>
      <c r="EG46" s="32">
        <f t="shared" si="9"/>
        <v>0</v>
      </c>
      <c r="EH46" s="32">
        <f t="shared" si="9"/>
        <v>0</v>
      </c>
      <c r="EI46" s="32">
        <f t="shared" si="9"/>
        <v>0</v>
      </c>
      <c r="EJ46" s="32">
        <f t="shared" si="9"/>
        <v>0</v>
      </c>
      <c r="EK46" s="33"/>
      <c r="EL46" s="33"/>
      <c r="EM46" s="25"/>
    </row>
    <row r="47" spans="1:143" s="19" customFormat="1" ht="30" customHeight="1">
      <c r="A47" s="30"/>
      <c r="B47" s="67" t="s">
        <v>333</v>
      </c>
      <c r="C47" s="24" t="s">
        <v>229</v>
      </c>
      <c r="D47" s="64" t="s">
        <v>132</v>
      </c>
      <c r="E47" s="77" t="s">
        <v>133</v>
      </c>
      <c r="F47" s="48"/>
      <c r="G47" s="48"/>
      <c r="H47" s="31" t="s">
        <v>397</v>
      </c>
      <c r="I47" s="52">
        <v>8</v>
      </c>
      <c r="J47" s="52"/>
      <c r="K47" s="52"/>
      <c r="L47" s="52"/>
      <c r="M47" s="52">
        <v>8</v>
      </c>
      <c r="N47" s="52">
        <v>3</v>
      </c>
      <c r="O47" s="52"/>
      <c r="P47" s="52"/>
      <c r="Q47" s="52">
        <v>8</v>
      </c>
      <c r="R47" s="52">
        <v>3</v>
      </c>
      <c r="S47" s="52"/>
      <c r="T47" s="52"/>
      <c r="U47" s="52">
        <v>8</v>
      </c>
      <c r="V47" s="52"/>
      <c r="W47" s="52"/>
      <c r="X47" s="52"/>
      <c r="Y47" s="52">
        <v>8</v>
      </c>
      <c r="Z47" s="52">
        <v>3</v>
      </c>
      <c r="AA47" s="52"/>
      <c r="AB47" s="52"/>
      <c r="AC47" s="52">
        <v>8</v>
      </c>
      <c r="AD47" s="52"/>
      <c r="AE47" s="52"/>
      <c r="AF47" s="52"/>
      <c r="AG47" s="51"/>
      <c r="AH47" s="51"/>
      <c r="AI47" s="51"/>
      <c r="AJ47" s="51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1"/>
      <c r="BJ47" s="51"/>
      <c r="BK47" s="51"/>
      <c r="BL47" s="51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1"/>
      <c r="CL47" s="51"/>
      <c r="CM47" s="51"/>
      <c r="CN47" s="51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1"/>
      <c r="DN47" s="51"/>
      <c r="DO47" s="51"/>
      <c r="DP47" s="51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34">
        <f t="shared" si="6"/>
        <v>48</v>
      </c>
      <c r="ED47" s="34">
        <f t="shared" si="10"/>
        <v>9</v>
      </c>
      <c r="EE47" s="34">
        <f t="shared" si="7"/>
        <v>0</v>
      </c>
      <c r="EF47" s="34">
        <f t="shared" si="8"/>
        <v>0</v>
      </c>
      <c r="EG47" s="32">
        <f t="shared" si="9"/>
        <v>0</v>
      </c>
      <c r="EH47" s="32">
        <f t="shared" si="9"/>
        <v>0</v>
      </c>
      <c r="EI47" s="32">
        <f t="shared" si="9"/>
        <v>0</v>
      </c>
      <c r="EJ47" s="32">
        <f t="shared" si="9"/>
        <v>0</v>
      </c>
      <c r="EK47" s="33"/>
      <c r="EL47" s="33"/>
      <c r="EM47" s="25"/>
    </row>
    <row r="48" spans="1:143" s="19" customFormat="1" ht="30" customHeight="1">
      <c r="A48" s="30"/>
      <c r="B48" s="67" t="s">
        <v>334</v>
      </c>
      <c r="C48" s="24" t="s">
        <v>237</v>
      </c>
      <c r="D48" s="26" t="s">
        <v>118</v>
      </c>
      <c r="E48" s="66" t="s">
        <v>119</v>
      </c>
      <c r="F48" s="48"/>
      <c r="G48" s="48"/>
      <c r="H48" s="31" t="s">
        <v>397</v>
      </c>
      <c r="I48" s="52">
        <v>8</v>
      </c>
      <c r="J48" s="52"/>
      <c r="K48" s="52"/>
      <c r="L48" s="52"/>
      <c r="M48" s="52">
        <v>8</v>
      </c>
      <c r="N48" s="52">
        <v>3</v>
      </c>
      <c r="O48" s="52"/>
      <c r="P48" s="52"/>
      <c r="Q48" s="52">
        <v>8</v>
      </c>
      <c r="R48" s="52">
        <v>4</v>
      </c>
      <c r="S48" s="52"/>
      <c r="T48" s="52"/>
      <c r="U48" s="52">
        <v>8</v>
      </c>
      <c r="V48" s="52">
        <v>4</v>
      </c>
      <c r="W48" s="52"/>
      <c r="X48" s="52"/>
      <c r="Y48" s="52"/>
      <c r="Z48" s="52"/>
      <c r="AA48" s="52"/>
      <c r="AB48" s="52"/>
      <c r="AC48" s="52">
        <v>8</v>
      </c>
      <c r="AD48" s="52"/>
      <c r="AE48" s="52"/>
      <c r="AF48" s="52"/>
      <c r="AG48" s="51"/>
      <c r="AH48" s="51"/>
      <c r="AI48" s="51"/>
      <c r="AJ48" s="51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1"/>
      <c r="BJ48" s="51"/>
      <c r="BK48" s="51"/>
      <c r="BL48" s="51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1"/>
      <c r="CL48" s="51"/>
      <c r="CM48" s="51"/>
      <c r="CN48" s="51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1"/>
      <c r="DN48" s="51"/>
      <c r="DO48" s="51"/>
      <c r="DP48" s="51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34">
        <f t="shared" si="6"/>
        <v>40</v>
      </c>
      <c r="ED48" s="34">
        <f t="shared" si="10"/>
        <v>11</v>
      </c>
      <c r="EE48" s="34">
        <f t="shared" si="7"/>
        <v>0</v>
      </c>
      <c r="EF48" s="34">
        <f t="shared" si="8"/>
        <v>0</v>
      </c>
      <c r="EG48" s="32">
        <f t="shared" si="9"/>
        <v>0</v>
      </c>
      <c r="EH48" s="32">
        <f t="shared" si="9"/>
        <v>0</v>
      </c>
      <c r="EI48" s="32">
        <f t="shared" si="9"/>
        <v>0</v>
      </c>
      <c r="EJ48" s="32">
        <f t="shared" si="9"/>
        <v>0</v>
      </c>
      <c r="EK48" s="33"/>
      <c r="EL48" s="33"/>
      <c r="EM48" s="25"/>
    </row>
    <row r="49" spans="1:143" s="19" customFormat="1" ht="30" customHeight="1">
      <c r="A49" s="30"/>
      <c r="B49" s="67" t="s">
        <v>335</v>
      </c>
      <c r="C49" s="76" t="s">
        <v>231</v>
      </c>
      <c r="D49" s="26" t="s">
        <v>55</v>
      </c>
      <c r="E49" s="66" t="s">
        <v>48</v>
      </c>
      <c r="F49" s="48"/>
      <c r="G49" s="48"/>
      <c r="H49" s="31" t="s">
        <v>397</v>
      </c>
      <c r="I49" s="52">
        <v>8</v>
      </c>
      <c r="J49" s="52">
        <v>3</v>
      </c>
      <c r="K49" s="52"/>
      <c r="L49" s="52"/>
      <c r="M49" s="52">
        <v>8</v>
      </c>
      <c r="N49" s="52"/>
      <c r="O49" s="52"/>
      <c r="P49" s="52"/>
      <c r="Q49" s="52">
        <v>8</v>
      </c>
      <c r="R49" s="52">
        <v>3</v>
      </c>
      <c r="S49" s="52"/>
      <c r="T49" s="52"/>
      <c r="U49" s="52">
        <v>8</v>
      </c>
      <c r="V49" s="52">
        <v>3</v>
      </c>
      <c r="W49" s="52"/>
      <c r="X49" s="52"/>
      <c r="Y49" s="52"/>
      <c r="Z49" s="52"/>
      <c r="AA49" s="52"/>
      <c r="AB49" s="52"/>
      <c r="AC49" s="52">
        <v>8</v>
      </c>
      <c r="AD49" s="52"/>
      <c r="AE49" s="52"/>
      <c r="AF49" s="52"/>
      <c r="AG49" s="51"/>
      <c r="AH49" s="51"/>
      <c r="AI49" s="51"/>
      <c r="AJ49" s="51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1"/>
      <c r="BJ49" s="51"/>
      <c r="BK49" s="51"/>
      <c r="BL49" s="51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1"/>
      <c r="CL49" s="51"/>
      <c r="CM49" s="51"/>
      <c r="CN49" s="51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1"/>
      <c r="DN49" s="51"/>
      <c r="DO49" s="51"/>
      <c r="DP49" s="51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34">
        <f t="shared" si="6"/>
        <v>40</v>
      </c>
      <c r="ED49" s="34">
        <f t="shared" si="10"/>
        <v>9</v>
      </c>
      <c r="EE49" s="34">
        <f t="shared" si="7"/>
        <v>0</v>
      </c>
      <c r="EF49" s="34">
        <f t="shared" si="8"/>
        <v>0</v>
      </c>
      <c r="EG49" s="32">
        <f t="shared" si="9"/>
        <v>0</v>
      </c>
      <c r="EH49" s="32">
        <f t="shared" si="9"/>
        <v>0</v>
      </c>
      <c r="EI49" s="32">
        <f t="shared" si="9"/>
        <v>0</v>
      </c>
      <c r="EJ49" s="32">
        <f t="shared" si="9"/>
        <v>0</v>
      </c>
      <c r="EK49" s="33"/>
      <c r="EL49" s="33"/>
      <c r="EM49" s="25"/>
    </row>
    <row r="50" spans="1:143" s="19" customFormat="1" ht="30" customHeight="1">
      <c r="A50" s="30"/>
      <c r="B50" s="67" t="s">
        <v>336</v>
      </c>
      <c r="C50" s="24" t="s">
        <v>391</v>
      </c>
      <c r="D50" s="26" t="s">
        <v>401</v>
      </c>
      <c r="E50" s="66" t="s">
        <v>392</v>
      </c>
      <c r="F50" s="48"/>
      <c r="G50" s="48"/>
      <c r="H50" s="31" t="s">
        <v>397</v>
      </c>
      <c r="I50" s="52">
        <v>8</v>
      </c>
      <c r="J50" s="52">
        <v>3</v>
      </c>
      <c r="K50" s="52"/>
      <c r="L50" s="52"/>
      <c r="M50" s="52">
        <v>8</v>
      </c>
      <c r="N50" s="52">
        <v>3</v>
      </c>
      <c r="O50" s="52"/>
      <c r="P50" s="52"/>
      <c r="Q50" s="52">
        <v>8</v>
      </c>
      <c r="R50" s="52">
        <v>2</v>
      </c>
      <c r="S50" s="52"/>
      <c r="T50" s="52"/>
      <c r="U50" s="52">
        <v>8</v>
      </c>
      <c r="V50" s="52">
        <v>2</v>
      </c>
      <c r="W50" s="52"/>
      <c r="X50" s="52"/>
      <c r="Y50" s="52"/>
      <c r="Z50" s="52"/>
      <c r="AA50" s="52"/>
      <c r="AB50" s="52"/>
      <c r="AC50" s="52">
        <v>8</v>
      </c>
      <c r="AD50" s="52"/>
      <c r="AE50" s="52"/>
      <c r="AF50" s="52"/>
      <c r="AG50" s="51"/>
      <c r="AH50" s="51"/>
      <c r="AI50" s="51"/>
      <c r="AJ50" s="51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1"/>
      <c r="BJ50" s="51"/>
      <c r="BK50" s="51"/>
      <c r="BL50" s="51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1"/>
      <c r="CL50" s="51"/>
      <c r="CM50" s="51"/>
      <c r="CN50" s="51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1"/>
      <c r="DN50" s="51"/>
      <c r="DO50" s="51"/>
      <c r="DP50" s="51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34">
        <f t="shared" si="6"/>
        <v>40</v>
      </c>
      <c r="ED50" s="34">
        <f t="shared" si="10"/>
        <v>10</v>
      </c>
      <c r="EE50" s="34">
        <f t="shared" si="7"/>
        <v>0</v>
      </c>
      <c r="EF50" s="34">
        <f t="shared" si="8"/>
        <v>0</v>
      </c>
      <c r="EG50" s="32">
        <f t="shared" si="9"/>
        <v>0</v>
      </c>
      <c r="EH50" s="32">
        <f t="shared" si="9"/>
        <v>0</v>
      </c>
      <c r="EI50" s="32">
        <f t="shared" si="9"/>
        <v>0</v>
      </c>
      <c r="EJ50" s="32">
        <f t="shared" si="9"/>
        <v>0</v>
      </c>
      <c r="EK50" s="33"/>
      <c r="EL50" s="33"/>
      <c r="EM50" s="25"/>
    </row>
    <row r="51" spans="1:143" s="19" customFormat="1" ht="30" customHeight="1">
      <c r="A51" s="30"/>
      <c r="B51" s="67" t="s">
        <v>337</v>
      </c>
      <c r="C51" s="76" t="s">
        <v>230</v>
      </c>
      <c r="D51" s="26" t="s">
        <v>124</v>
      </c>
      <c r="E51" s="66" t="s">
        <v>125</v>
      </c>
      <c r="F51" s="48"/>
      <c r="G51" s="48"/>
      <c r="H51" s="31" t="s">
        <v>397</v>
      </c>
      <c r="I51" s="52">
        <v>8</v>
      </c>
      <c r="J51" s="52"/>
      <c r="K51" s="52"/>
      <c r="L51" s="52"/>
      <c r="M51" s="52">
        <v>8</v>
      </c>
      <c r="N51" s="52">
        <v>3</v>
      </c>
      <c r="O51" s="52"/>
      <c r="P51" s="52"/>
      <c r="Q51" s="52">
        <v>8</v>
      </c>
      <c r="R51" s="52">
        <v>2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1"/>
      <c r="AH51" s="51"/>
      <c r="AI51" s="51"/>
      <c r="AJ51" s="51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1"/>
      <c r="BJ51" s="51"/>
      <c r="BK51" s="51"/>
      <c r="BL51" s="51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1"/>
      <c r="CL51" s="51"/>
      <c r="CM51" s="51"/>
      <c r="CN51" s="51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1"/>
      <c r="DN51" s="51"/>
      <c r="DO51" s="51"/>
      <c r="DP51" s="51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34">
        <f t="shared" si="6"/>
        <v>24</v>
      </c>
      <c r="ED51" s="34">
        <f t="shared" si="10"/>
        <v>5</v>
      </c>
      <c r="EE51" s="34">
        <f t="shared" si="7"/>
        <v>0</v>
      </c>
      <c r="EF51" s="34">
        <f t="shared" si="8"/>
        <v>0</v>
      </c>
      <c r="EG51" s="32">
        <f t="shared" si="9"/>
        <v>0</v>
      </c>
      <c r="EH51" s="32">
        <f t="shared" si="9"/>
        <v>0</v>
      </c>
      <c r="EI51" s="32">
        <f t="shared" si="9"/>
        <v>0</v>
      </c>
      <c r="EJ51" s="32">
        <f t="shared" si="9"/>
        <v>0</v>
      </c>
      <c r="EK51" s="33"/>
      <c r="EL51" s="33"/>
      <c r="EM51" s="25"/>
    </row>
    <row r="52" spans="1:143" s="19" customFormat="1" ht="30" customHeight="1">
      <c r="A52" s="30"/>
      <c r="B52" s="67" t="s">
        <v>338</v>
      </c>
      <c r="C52" s="24" t="s">
        <v>247</v>
      </c>
      <c r="D52" s="26" t="s">
        <v>158</v>
      </c>
      <c r="E52" s="66" t="s">
        <v>159</v>
      </c>
      <c r="F52" s="48"/>
      <c r="G52" s="48"/>
      <c r="H52" s="31" t="s">
        <v>397</v>
      </c>
      <c r="I52" s="52">
        <v>8</v>
      </c>
      <c r="J52" s="52"/>
      <c r="K52" s="52"/>
      <c r="L52" s="52"/>
      <c r="M52" s="52">
        <v>8</v>
      </c>
      <c r="N52" s="52"/>
      <c r="O52" s="52"/>
      <c r="P52" s="52"/>
      <c r="Q52" s="52">
        <v>8</v>
      </c>
      <c r="R52" s="52">
        <v>4</v>
      </c>
      <c r="S52" s="52"/>
      <c r="T52" s="52"/>
      <c r="U52" s="52">
        <v>8</v>
      </c>
      <c r="V52" s="52">
        <v>4</v>
      </c>
      <c r="W52" s="52"/>
      <c r="X52" s="52"/>
      <c r="Y52" s="52"/>
      <c r="Z52" s="52"/>
      <c r="AA52" s="52"/>
      <c r="AB52" s="52"/>
      <c r="AC52" s="52">
        <v>8</v>
      </c>
      <c r="AD52" s="52"/>
      <c r="AE52" s="52"/>
      <c r="AF52" s="52"/>
      <c r="AG52" s="51"/>
      <c r="AH52" s="51"/>
      <c r="AI52" s="51"/>
      <c r="AJ52" s="51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1"/>
      <c r="BJ52" s="51"/>
      <c r="BK52" s="51"/>
      <c r="BL52" s="51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1"/>
      <c r="CL52" s="51"/>
      <c r="CM52" s="51"/>
      <c r="CN52" s="51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1"/>
      <c r="DN52" s="51"/>
      <c r="DO52" s="51"/>
      <c r="DP52" s="51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34">
        <f t="shared" si="6"/>
        <v>40</v>
      </c>
      <c r="ED52" s="34">
        <f t="shared" si="10"/>
        <v>8</v>
      </c>
      <c r="EE52" s="34">
        <f t="shared" si="7"/>
        <v>0</v>
      </c>
      <c r="EF52" s="34">
        <f t="shared" si="8"/>
        <v>0</v>
      </c>
      <c r="EG52" s="32">
        <f t="shared" si="9"/>
        <v>0</v>
      </c>
      <c r="EH52" s="32">
        <f t="shared" si="9"/>
        <v>0</v>
      </c>
      <c r="EI52" s="32">
        <f t="shared" si="9"/>
        <v>0</v>
      </c>
      <c r="EJ52" s="32">
        <f t="shared" si="9"/>
        <v>0</v>
      </c>
      <c r="EK52" s="33"/>
      <c r="EL52" s="33"/>
      <c r="EM52" s="25"/>
    </row>
    <row r="53" spans="1:143" s="19" customFormat="1" ht="30" customHeight="1">
      <c r="A53" s="30"/>
      <c r="B53" s="67" t="s">
        <v>339</v>
      </c>
      <c r="C53" s="24" t="s">
        <v>384</v>
      </c>
      <c r="D53" s="26" t="s">
        <v>284</v>
      </c>
      <c r="E53" s="66" t="s">
        <v>285</v>
      </c>
      <c r="F53" s="48"/>
      <c r="G53" s="48"/>
      <c r="H53" s="31" t="s">
        <v>397</v>
      </c>
      <c r="I53" s="52">
        <v>8</v>
      </c>
      <c r="J53" s="52"/>
      <c r="K53" s="52"/>
      <c r="L53" s="52"/>
      <c r="M53" s="52">
        <v>8</v>
      </c>
      <c r="N53" s="52">
        <v>2</v>
      </c>
      <c r="O53" s="52"/>
      <c r="P53" s="52"/>
      <c r="Q53" s="52">
        <v>8</v>
      </c>
      <c r="R53" s="52">
        <v>3</v>
      </c>
      <c r="S53" s="52"/>
      <c r="T53" s="52"/>
      <c r="U53" s="52">
        <v>8</v>
      </c>
      <c r="V53" s="52">
        <v>3</v>
      </c>
      <c r="W53" s="52"/>
      <c r="X53" s="52"/>
      <c r="Y53" s="52">
        <v>8</v>
      </c>
      <c r="Z53" s="52"/>
      <c r="AA53" s="52"/>
      <c r="AB53" s="52"/>
      <c r="AC53" s="52">
        <v>8</v>
      </c>
      <c r="AD53" s="52"/>
      <c r="AE53" s="52"/>
      <c r="AF53" s="52"/>
      <c r="AG53" s="51"/>
      <c r="AH53" s="51"/>
      <c r="AI53" s="51"/>
      <c r="AJ53" s="51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1"/>
      <c r="BJ53" s="51"/>
      <c r="BK53" s="51"/>
      <c r="BL53" s="51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1"/>
      <c r="CL53" s="51"/>
      <c r="CM53" s="51"/>
      <c r="CN53" s="51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1"/>
      <c r="DN53" s="51"/>
      <c r="DO53" s="51"/>
      <c r="DP53" s="51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34">
        <f t="shared" si="6"/>
        <v>48</v>
      </c>
      <c r="ED53" s="34">
        <f t="shared" si="10"/>
        <v>8</v>
      </c>
      <c r="EE53" s="34">
        <f t="shared" si="7"/>
        <v>0</v>
      </c>
      <c r="EF53" s="34">
        <f t="shared" si="8"/>
        <v>0</v>
      </c>
      <c r="EG53" s="32">
        <f t="shared" si="9"/>
        <v>0</v>
      </c>
      <c r="EH53" s="32">
        <f t="shared" si="9"/>
        <v>0</v>
      </c>
      <c r="EI53" s="32">
        <f t="shared" si="9"/>
        <v>0</v>
      </c>
      <c r="EJ53" s="32">
        <f t="shared" si="9"/>
        <v>0</v>
      </c>
      <c r="EK53" s="33"/>
      <c r="EL53" s="33"/>
      <c r="EM53" s="25"/>
    </row>
    <row r="54" spans="1:143" s="19" customFormat="1" ht="30" customHeight="1">
      <c r="A54" s="30"/>
      <c r="B54" s="67" t="s">
        <v>340</v>
      </c>
      <c r="C54" s="24" t="s">
        <v>385</v>
      </c>
      <c r="D54" s="26" t="s">
        <v>286</v>
      </c>
      <c r="E54" s="66" t="s">
        <v>287</v>
      </c>
      <c r="F54" s="48"/>
      <c r="G54" s="48"/>
      <c r="H54" s="31" t="s">
        <v>397</v>
      </c>
      <c r="I54" s="52">
        <v>8</v>
      </c>
      <c r="J54" s="52"/>
      <c r="K54" s="52"/>
      <c r="L54" s="52"/>
      <c r="M54" s="52">
        <v>8</v>
      </c>
      <c r="N54" s="52">
        <v>2</v>
      </c>
      <c r="O54" s="52"/>
      <c r="P54" s="52"/>
      <c r="Q54" s="52">
        <v>8</v>
      </c>
      <c r="R54" s="52">
        <v>4</v>
      </c>
      <c r="S54" s="52"/>
      <c r="T54" s="52"/>
      <c r="U54" s="52">
        <v>8</v>
      </c>
      <c r="V54" s="52">
        <v>2</v>
      </c>
      <c r="W54" s="52"/>
      <c r="X54" s="52"/>
      <c r="Y54" s="52">
        <v>8</v>
      </c>
      <c r="Z54" s="52"/>
      <c r="AA54" s="52"/>
      <c r="AB54" s="52"/>
      <c r="AC54" s="52">
        <v>8</v>
      </c>
      <c r="AD54" s="52"/>
      <c r="AE54" s="52"/>
      <c r="AF54" s="52"/>
      <c r="AG54" s="51"/>
      <c r="AH54" s="51"/>
      <c r="AI54" s="51"/>
      <c r="AJ54" s="51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1"/>
      <c r="BJ54" s="51"/>
      <c r="BK54" s="51"/>
      <c r="BL54" s="51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1"/>
      <c r="CL54" s="51"/>
      <c r="CM54" s="51"/>
      <c r="CN54" s="51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1"/>
      <c r="DN54" s="51"/>
      <c r="DO54" s="51"/>
      <c r="DP54" s="51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34">
        <f t="shared" si="6"/>
        <v>48</v>
      </c>
      <c r="ED54" s="34">
        <f t="shared" si="10"/>
        <v>8</v>
      </c>
      <c r="EE54" s="34">
        <f t="shared" si="7"/>
        <v>0</v>
      </c>
      <c r="EF54" s="34">
        <f t="shared" si="8"/>
        <v>0</v>
      </c>
      <c r="EG54" s="32">
        <f t="shared" si="9"/>
        <v>0</v>
      </c>
      <c r="EH54" s="32">
        <f t="shared" si="9"/>
        <v>0</v>
      </c>
      <c r="EI54" s="32">
        <f t="shared" si="9"/>
        <v>0</v>
      </c>
      <c r="EJ54" s="32">
        <f t="shared" si="9"/>
        <v>0</v>
      </c>
      <c r="EK54" s="33"/>
      <c r="EL54" s="33"/>
      <c r="EM54" s="25"/>
    </row>
    <row r="55" spans="1:143" s="19" customFormat="1" ht="30" customHeight="1">
      <c r="A55" s="30"/>
      <c r="B55" s="67" t="s">
        <v>341</v>
      </c>
      <c r="C55" s="24" t="s">
        <v>370</v>
      </c>
      <c r="D55" s="26" t="s">
        <v>256</v>
      </c>
      <c r="E55" s="66" t="s">
        <v>257</v>
      </c>
      <c r="F55" s="48"/>
      <c r="G55" s="48"/>
      <c r="H55" s="31" t="s">
        <v>397</v>
      </c>
      <c r="I55" s="52">
        <v>8</v>
      </c>
      <c r="J55" s="52"/>
      <c r="K55" s="52"/>
      <c r="L55" s="52"/>
      <c r="M55" s="52">
        <v>8</v>
      </c>
      <c r="N55" s="52"/>
      <c r="O55" s="52"/>
      <c r="P55" s="52"/>
      <c r="Q55" s="52">
        <v>8</v>
      </c>
      <c r="R55" s="52">
        <v>2</v>
      </c>
      <c r="S55" s="52"/>
      <c r="T55" s="52"/>
      <c r="U55" s="52">
        <v>8</v>
      </c>
      <c r="V55" s="52">
        <v>3</v>
      </c>
      <c r="W55" s="52"/>
      <c r="X55" s="52"/>
      <c r="Y55" s="52">
        <v>8</v>
      </c>
      <c r="Z55" s="52"/>
      <c r="AA55" s="52"/>
      <c r="AB55" s="52"/>
      <c r="AC55" s="52">
        <v>8</v>
      </c>
      <c r="AD55" s="52"/>
      <c r="AE55" s="52"/>
      <c r="AF55" s="52"/>
      <c r="AG55" s="51"/>
      <c r="AH55" s="51"/>
      <c r="AI55" s="51"/>
      <c r="AJ55" s="51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1"/>
      <c r="BJ55" s="51"/>
      <c r="BK55" s="51"/>
      <c r="BL55" s="51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1"/>
      <c r="CL55" s="51"/>
      <c r="CM55" s="51"/>
      <c r="CN55" s="51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1"/>
      <c r="DN55" s="51"/>
      <c r="DO55" s="51"/>
      <c r="DP55" s="51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34">
        <f t="shared" si="6"/>
        <v>48</v>
      </c>
      <c r="ED55" s="34">
        <f t="shared" si="10"/>
        <v>5</v>
      </c>
      <c r="EE55" s="34">
        <f t="shared" si="7"/>
        <v>0</v>
      </c>
      <c r="EF55" s="34">
        <f t="shared" si="8"/>
        <v>0</v>
      </c>
      <c r="EG55" s="32">
        <f t="shared" si="9"/>
        <v>0</v>
      </c>
      <c r="EH55" s="32">
        <f t="shared" si="9"/>
        <v>0</v>
      </c>
      <c r="EI55" s="32">
        <f t="shared" si="9"/>
        <v>0</v>
      </c>
      <c r="EJ55" s="32">
        <f t="shared" si="9"/>
        <v>0</v>
      </c>
      <c r="EK55" s="33"/>
      <c r="EL55" s="33"/>
      <c r="EM55" s="25"/>
    </row>
    <row r="56" spans="1:143" s="19" customFormat="1" ht="30" customHeight="1">
      <c r="A56" s="30"/>
      <c r="B56" s="67" t="s">
        <v>342</v>
      </c>
      <c r="C56" s="24" t="s">
        <v>378</v>
      </c>
      <c r="D56" s="26" t="s">
        <v>272</v>
      </c>
      <c r="E56" s="66" t="s">
        <v>273</v>
      </c>
      <c r="F56" s="48"/>
      <c r="G56" s="48"/>
      <c r="H56" s="31" t="s">
        <v>397</v>
      </c>
      <c r="I56" s="52">
        <v>8</v>
      </c>
      <c r="J56" s="52"/>
      <c r="K56" s="52"/>
      <c r="L56" s="52"/>
      <c r="M56" s="52">
        <v>7.5</v>
      </c>
      <c r="N56" s="52">
        <v>2</v>
      </c>
      <c r="O56" s="52"/>
      <c r="P56" s="52"/>
      <c r="Q56" s="52">
        <v>8</v>
      </c>
      <c r="R56" s="52">
        <v>3</v>
      </c>
      <c r="S56" s="52"/>
      <c r="T56" s="52"/>
      <c r="U56" s="52">
        <v>7.5</v>
      </c>
      <c r="V56" s="52">
        <v>3</v>
      </c>
      <c r="W56" s="52"/>
      <c r="X56" s="52"/>
      <c r="Y56" s="52"/>
      <c r="Z56" s="52"/>
      <c r="AA56" s="52"/>
      <c r="AB56" s="52"/>
      <c r="AC56" s="52">
        <v>8</v>
      </c>
      <c r="AD56" s="52"/>
      <c r="AE56" s="52"/>
      <c r="AF56" s="52"/>
      <c r="AG56" s="51"/>
      <c r="AH56" s="51"/>
      <c r="AI56" s="51"/>
      <c r="AJ56" s="51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1"/>
      <c r="BJ56" s="51"/>
      <c r="BK56" s="51"/>
      <c r="BL56" s="51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1"/>
      <c r="CL56" s="51"/>
      <c r="CM56" s="51"/>
      <c r="CN56" s="51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1"/>
      <c r="DN56" s="51"/>
      <c r="DO56" s="51"/>
      <c r="DP56" s="51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34">
        <f t="shared" si="6"/>
        <v>39</v>
      </c>
      <c r="ED56" s="34">
        <f t="shared" si="10"/>
        <v>8</v>
      </c>
      <c r="EE56" s="34">
        <f t="shared" si="7"/>
        <v>0</v>
      </c>
      <c r="EF56" s="34">
        <f t="shared" si="8"/>
        <v>0</v>
      </c>
      <c r="EG56" s="32">
        <f t="shared" si="9"/>
        <v>0</v>
      </c>
      <c r="EH56" s="32">
        <f t="shared" si="9"/>
        <v>0</v>
      </c>
      <c r="EI56" s="32">
        <f t="shared" si="9"/>
        <v>0</v>
      </c>
      <c r="EJ56" s="32">
        <f t="shared" si="9"/>
        <v>0</v>
      </c>
      <c r="EK56" s="33"/>
      <c r="EL56" s="33"/>
      <c r="EM56" s="25"/>
    </row>
    <row r="57" spans="1:143" s="19" customFormat="1" ht="30" customHeight="1">
      <c r="A57" s="30"/>
      <c r="B57" s="67" t="s">
        <v>343</v>
      </c>
      <c r="C57" s="24" t="s">
        <v>383</v>
      </c>
      <c r="D57" s="26" t="s">
        <v>282</v>
      </c>
      <c r="E57" s="66" t="s">
        <v>283</v>
      </c>
      <c r="F57" s="48"/>
      <c r="G57" s="48"/>
      <c r="H57" s="31" t="s">
        <v>397</v>
      </c>
      <c r="I57" s="52">
        <v>8</v>
      </c>
      <c r="J57" s="52"/>
      <c r="K57" s="52"/>
      <c r="L57" s="52"/>
      <c r="M57" s="52">
        <v>8</v>
      </c>
      <c r="N57" s="52">
        <v>3</v>
      </c>
      <c r="O57" s="52"/>
      <c r="P57" s="52"/>
      <c r="Q57" s="52">
        <v>8</v>
      </c>
      <c r="R57" s="52">
        <v>3</v>
      </c>
      <c r="S57" s="52"/>
      <c r="T57" s="52"/>
      <c r="U57" s="52">
        <v>8</v>
      </c>
      <c r="V57" s="52">
        <v>3</v>
      </c>
      <c r="W57" s="52"/>
      <c r="X57" s="52"/>
      <c r="Y57" s="52">
        <v>8</v>
      </c>
      <c r="Z57" s="52">
        <v>3</v>
      </c>
      <c r="AA57" s="52"/>
      <c r="AB57" s="52"/>
      <c r="AC57" s="52">
        <v>8</v>
      </c>
      <c r="AD57" s="52"/>
      <c r="AE57" s="52"/>
      <c r="AF57" s="52"/>
      <c r="AG57" s="51"/>
      <c r="AH57" s="51"/>
      <c r="AI57" s="51"/>
      <c r="AJ57" s="51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1"/>
      <c r="BJ57" s="51"/>
      <c r="BK57" s="51"/>
      <c r="BL57" s="51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1"/>
      <c r="CL57" s="51"/>
      <c r="CM57" s="51"/>
      <c r="CN57" s="51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1"/>
      <c r="DN57" s="51"/>
      <c r="DO57" s="51"/>
      <c r="DP57" s="51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34">
        <f t="shared" si="6"/>
        <v>48</v>
      </c>
      <c r="ED57" s="34">
        <f t="shared" si="10"/>
        <v>12</v>
      </c>
      <c r="EE57" s="34">
        <f t="shared" si="7"/>
        <v>0</v>
      </c>
      <c r="EF57" s="34">
        <f t="shared" si="8"/>
        <v>0</v>
      </c>
      <c r="EG57" s="32">
        <f t="shared" si="9"/>
        <v>0</v>
      </c>
      <c r="EH57" s="32">
        <f t="shared" si="9"/>
        <v>0</v>
      </c>
      <c r="EI57" s="32">
        <f t="shared" si="9"/>
        <v>0</v>
      </c>
      <c r="EJ57" s="32">
        <f t="shared" si="9"/>
        <v>0</v>
      </c>
      <c r="EK57" s="33"/>
      <c r="EL57" s="33"/>
      <c r="EM57" s="25"/>
    </row>
    <row r="58" spans="1:143" s="19" customFormat="1" ht="30" customHeight="1">
      <c r="A58" s="30"/>
      <c r="B58" s="67" t="s">
        <v>344</v>
      </c>
      <c r="C58" s="24" t="s">
        <v>379</v>
      </c>
      <c r="D58" s="26" t="s">
        <v>274</v>
      </c>
      <c r="E58" s="66" t="s">
        <v>275</v>
      </c>
      <c r="F58" s="48"/>
      <c r="G58" s="48"/>
      <c r="H58" s="31" t="s">
        <v>397</v>
      </c>
      <c r="I58" s="52">
        <v>8</v>
      </c>
      <c r="J58" s="52"/>
      <c r="K58" s="52"/>
      <c r="L58" s="52"/>
      <c r="M58" s="52">
        <v>8</v>
      </c>
      <c r="N58" s="52">
        <v>3</v>
      </c>
      <c r="O58" s="52"/>
      <c r="P58" s="52"/>
      <c r="Q58" s="52">
        <v>8</v>
      </c>
      <c r="R58" s="52">
        <v>3</v>
      </c>
      <c r="S58" s="52"/>
      <c r="T58" s="52"/>
      <c r="U58" s="52">
        <v>8</v>
      </c>
      <c r="V58" s="52"/>
      <c r="W58" s="52"/>
      <c r="X58" s="52"/>
      <c r="Y58" s="52">
        <v>8</v>
      </c>
      <c r="Z58" s="52"/>
      <c r="AA58" s="52"/>
      <c r="AB58" s="52"/>
      <c r="AC58" s="52">
        <v>8</v>
      </c>
      <c r="AD58" s="52"/>
      <c r="AE58" s="52"/>
      <c r="AF58" s="52"/>
      <c r="AG58" s="51"/>
      <c r="AH58" s="51"/>
      <c r="AI58" s="51"/>
      <c r="AJ58" s="51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1"/>
      <c r="BJ58" s="51"/>
      <c r="BK58" s="51"/>
      <c r="BL58" s="51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1"/>
      <c r="CL58" s="51"/>
      <c r="CM58" s="51"/>
      <c r="CN58" s="51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1"/>
      <c r="DN58" s="51"/>
      <c r="DO58" s="51"/>
      <c r="DP58" s="51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34">
        <f t="shared" si="6"/>
        <v>48</v>
      </c>
      <c r="ED58" s="34">
        <f t="shared" si="10"/>
        <v>6</v>
      </c>
      <c r="EE58" s="34">
        <f t="shared" si="7"/>
        <v>0</v>
      </c>
      <c r="EF58" s="34">
        <f t="shared" si="8"/>
        <v>0</v>
      </c>
      <c r="EG58" s="32">
        <f t="shared" si="9"/>
        <v>0</v>
      </c>
      <c r="EH58" s="32">
        <f t="shared" si="9"/>
        <v>0</v>
      </c>
      <c r="EI58" s="32">
        <f t="shared" si="9"/>
        <v>0</v>
      </c>
      <c r="EJ58" s="32">
        <f t="shared" si="9"/>
        <v>0</v>
      </c>
      <c r="EK58" s="33"/>
      <c r="EL58" s="33"/>
      <c r="EM58" s="25"/>
    </row>
    <row r="59" spans="1:143" s="19" customFormat="1" ht="30" customHeight="1">
      <c r="A59" s="30"/>
      <c r="B59" s="67" t="s">
        <v>345</v>
      </c>
      <c r="C59" s="24" t="s">
        <v>372</v>
      </c>
      <c r="D59" s="26" t="s">
        <v>260</v>
      </c>
      <c r="E59" s="66" t="s">
        <v>261</v>
      </c>
      <c r="F59" s="48"/>
      <c r="G59" s="48"/>
      <c r="H59" s="31" t="s">
        <v>397</v>
      </c>
      <c r="I59" s="52">
        <v>8</v>
      </c>
      <c r="J59" s="52"/>
      <c r="K59" s="52"/>
      <c r="L59" s="52"/>
      <c r="M59" s="52">
        <v>8</v>
      </c>
      <c r="N59" s="52">
        <v>4</v>
      </c>
      <c r="O59" s="52"/>
      <c r="P59" s="52"/>
      <c r="Q59" s="52">
        <v>8</v>
      </c>
      <c r="R59" s="52">
        <v>4</v>
      </c>
      <c r="S59" s="52"/>
      <c r="T59" s="52"/>
      <c r="U59" s="52">
        <v>8</v>
      </c>
      <c r="V59" s="52">
        <v>3</v>
      </c>
      <c r="W59" s="52"/>
      <c r="X59" s="52"/>
      <c r="Y59" s="52">
        <v>8</v>
      </c>
      <c r="Z59" s="52"/>
      <c r="AA59" s="52"/>
      <c r="AB59" s="52"/>
      <c r="AC59" s="52">
        <v>8</v>
      </c>
      <c r="AD59" s="52"/>
      <c r="AE59" s="52"/>
      <c r="AF59" s="52"/>
      <c r="AG59" s="51"/>
      <c r="AH59" s="51"/>
      <c r="AI59" s="51"/>
      <c r="AJ59" s="51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1"/>
      <c r="BJ59" s="51"/>
      <c r="BK59" s="51"/>
      <c r="BL59" s="51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1"/>
      <c r="CL59" s="51"/>
      <c r="CM59" s="51"/>
      <c r="CN59" s="51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1"/>
      <c r="DN59" s="51"/>
      <c r="DO59" s="51"/>
      <c r="DP59" s="51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34">
        <f t="shared" si="6"/>
        <v>48</v>
      </c>
      <c r="ED59" s="34">
        <f t="shared" si="10"/>
        <v>11</v>
      </c>
      <c r="EE59" s="34">
        <f t="shared" si="7"/>
        <v>0</v>
      </c>
      <c r="EF59" s="34">
        <f t="shared" si="8"/>
        <v>0</v>
      </c>
      <c r="EG59" s="32">
        <f t="shared" ref="EG59:EJ73" si="11">SUMIF($I$10:$EB$10,EG$10,$I59:$EB59)</f>
        <v>0</v>
      </c>
      <c r="EH59" s="32">
        <f t="shared" si="11"/>
        <v>0</v>
      </c>
      <c r="EI59" s="32">
        <f t="shared" si="11"/>
        <v>0</v>
      </c>
      <c r="EJ59" s="32">
        <f t="shared" si="11"/>
        <v>0</v>
      </c>
      <c r="EK59" s="33"/>
      <c r="EL59" s="33"/>
      <c r="EM59" s="25"/>
    </row>
    <row r="60" spans="1:143" s="19" customFormat="1" ht="30" customHeight="1">
      <c r="A60" s="30"/>
      <c r="B60" s="67" t="s">
        <v>346</v>
      </c>
      <c r="C60" s="24" t="s">
        <v>377</v>
      </c>
      <c r="D60" s="26" t="s">
        <v>270</v>
      </c>
      <c r="E60" s="66" t="s">
        <v>271</v>
      </c>
      <c r="F60" s="48"/>
      <c r="G60" s="48"/>
      <c r="H60" s="31" t="s">
        <v>397</v>
      </c>
      <c r="I60" s="52">
        <v>8</v>
      </c>
      <c r="J60" s="52"/>
      <c r="K60" s="52"/>
      <c r="L60" s="52"/>
      <c r="M60" s="52">
        <v>8</v>
      </c>
      <c r="N60" s="52">
        <v>3</v>
      </c>
      <c r="O60" s="52"/>
      <c r="P60" s="52"/>
      <c r="Q60" s="52">
        <v>8</v>
      </c>
      <c r="R60" s="52">
        <v>3</v>
      </c>
      <c r="S60" s="52"/>
      <c r="T60" s="52"/>
      <c r="U60" s="52">
        <v>8</v>
      </c>
      <c r="V60" s="52"/>
      <c r="W60" s="52"/>
      <c r="X60" s="52"/>
      <c r="Y60" s="52">
        <v>4</v>
      </c>
      <c r="Z60" s="52"/>
      <c r="AA60" s="52"/>
      <c r="AB60" s="52"/>
      <c r="AC60" s="52">
        <v>8</v>
      </c>
      <c r="AD60" s="52"/>
      <c r="AE60" s="52"/>
      <c r="AF60" s="52"/>
      <c r="AG60" s="51"/>
      <c r="AH60" s="51"/>
      <c r="AI60" s="51"/>
      <c r="AJ60" s="51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1"/>
      <c r="BJ60" s="51"/>
      <c r="BK60" s="51"/>
      <c r="BL60" s="51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1"/>
      <c r="CL60" s="51"/>
      <c r="CM60" s="51"/>
      <c r="CN60" s="51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1"/>
      <c r="DN60" s="51"/>
      <c r="DO60" s="51"/>
      <c r="DP60" s="51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34">
        <f t="shared" si="6"/>
        <v>44</v>
      </c>
      <c r="ED60" s="34">
        <f t="shared" si="10"/>
        <v>6</v>
      </c>
      <c r="EE60" s="34">
        <f t="shared" si="7"/>
        <v>0</v>
      </c>
      <c r="EF60" s="34">
        <f t="shared" si="8"/>
        <v>0</v>
      </c>
      <c r="EG60" s="32">
        <f t="shared" si="11"/>
        <v>0</v>
      </c>
      <c r="EH60" s="32">
        <f t="shared" si="11"/>
        <v>0</v>
      </c>
      <c r="EI60" s="32">
        <f t="shared" si="11"/>
        <v>0</v>
      </c>
      <c r="EJ60" s="32">
        <f t="shared" si="11"/>
        <v>0</v>
      </c>
      <c r="EK60" s="33"/>
      <c r="EL60" s="33"/>
      <c r="EM60" s="25"/>
    </row>
    <row r="61" spans="1:143" s="19" customFormat="1" ht="30" customHeight="1">
      <c r="A61" s="30"/>
      <c r="B61" s="67" t="s">
        <v>347</v>
      </c>
      <c r="C61" s="24" t="s">
        <v>371</v>
      </c>
      <c r="D61" s="26" t="s">
        <v>258</v>
      </c>
      <c r="E61" s="66" t="s">
        <v>259</v>
      </c>
      <c r="F61" s="48"/>
      <c r="G61" s="48"/>
      <c r="H61" s="31" t="s">
        <v>397</v>
      </c>
      <c r="I61" s="52">
        <v>8</v>
      </c>
      <c r="J61" s="52"/>
      <c r="K61" s="52"/>
      <c r="L61" s="52"/>
      <c r="M61" s="52">
        <v>8</v>
      </c>
      <c r="N61" s="52">
        <v>3</v>
      </c>
      <c r="O61" s="52"/>
      <c r="P61" s="52"/>
      <c r="Q61" s="52">
        <v>8</v>
      </c>
      <c r="R61" s="52">
        <v>4</v>
      </c>
      <c r="S61" s="52"/>
      <c r="T61" s="52"/>
      <c r="U61" s="52"/>
      <c r="V61" s="52"/>
      <c r="W61" s="52"/>
      <c r="X61" s="52"/>
      <c r="Y61" s="52">
        <v>8</v>
      </c>
      <c r="Z61" s="52"/>
      <c r="AA61" s="52"/>
      <c r="AB61" s="52"/>
      <c r="AC61" s="52">
        <v>8</v>
      </c>
      <c r="AD61" s="52"/>
      <c r="AE61" s="52"/>
      <c r="AF61" s="52"/>
      <c r="AG61" s="51"/>
      <c r="AH61" s="51"/>
      <c r="AI61" s="51"/>
      <c r="AJ61" s="51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1"/>
      <c r="BJ61" s="51"/>
      <c r="BK61" s="51"/>
      <c r="BL61" s="51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1"/>
      <c r="CL61" s="51"/>
      <c r="CM61" s="51"/>
      <c r="CN61" s="51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1"/>
      <c r="DN61" s="51"/>
      <c r="DO61" s="51"/>
      <c r="DP61" s="51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34">
        <f t="shared" si="6"/>
        <v>40</v>
      </c>
      <c r="ED61" s="34">
        <f t="shared" si="10"/>
        <v>7</v>
      </c>
      <c r="EE61" s="34">
        <f t="shared" si="7"/>
        <v>0</v>
      </c>
      <c r="EF61" s="34">
        <f t="shared" si="8"/>
        <v>0</v>
      </c>
      <c r="EG61" s="32">
        <f t="shared" si="11"/>
        <v>0</v>
      </c>
      <c r="EH61" s="32">
        <f t="shared" si="11"/>
        <v>0</v>
      </c>
      <c r="EI61" s="32">
        <f t="shared" si="11"/>
        <v>0</v>
      </c>
      <c r="EJ61" s="32">
        <f t="shared" si="11"/>
        <v>0</v>
      </c>
      <c r="EK61" s="33"/>
      <c r="EL61" s="33"/>
      <c r="EM61" s="25"/>
    </row>
    <row r="62" spans="1:143" s="19" customFormat="1" ht="30" customHeight="1">
      <c r="A62" s="30"/>
      <c r="B62" s="67" t="s">
        <v>348</v>
      </c>
      <c r="C62" s="24" t="s">
        <v>374</v>
      </c>
      <c r="D62" s="26" t="s">
        <v>264</v>
      </c>
      <c r="E62" s="66" t="s">
        <v>265</v>
      </c>
      <c r="F62" s="48"/>
      <c r="G62" s="48"/>
      <c r="H62" s="31" t="s">
        <v>397</v>
      </c>
      <c r="I62" s="52">
        <v>8</v>
      </c>
      <c r="J62" s="52"/>
      <c r="K62" s="52"/>
      <c r="L62" s="52"/>
      <c r="M62" s="52">
        <v>8</v>
      </c>
      <c r="N62" s="52">
        <v>3</v>
      </c>
      <c r="O62" s="52"/>
      <c r="P62" s="52"/>
      <c r="Q62" s="52">
        <v>8</v>
      </c>
      <c r="R62" s="52">
        <v>3</v>
      </c>
      <c r="S62" s="52"/>
      <c r="T62" s="52"/>
      <c r="U62" s="52">
        <v>8</v>
      </c>
      <c r="V62" s="52"/>
      <c r="W62" s="52"/>
      <c r="X62" s="52"/>
      <c r="Y62" s="52">
        <v>8</v>
      </c>
      <c r="Z62" s="52"/>
      <c r="AA62" s="52"/>
      <c r="AB62" s="52"/>
      <c r="AC62" s="52">
        <v>8</v>
      </c>
      <c r="AD62" s="52"/>
      <c r="AE62" s="52"/>
      <c r="AF62" s="52"/>
      <c r="AG62" s="51"/>
      <c r="AH62" s="51"/>
      <c r="AI62" s="51"/>
      <c r="AJ62" s="51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1"/>
      <c r="BJ62" s="51"/>
      <c r="BK62" s="51"/>
      <c r="BL62" s="51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1"/>
      <c r="CL62" s="51"/>
      <c r="CM62" s="51"/>
      <c r="CN62" s="51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1"/>
      <c r="DN62" s="51"/>
      <c r="DO62" s="51"/>
      <c r="DP62" s="51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34">
        <f t="shared" si="6"/>
        <v>48</v>
      </c>
      <c r="ED62" s="34">
        <f t="shared" si="10"/>
        <v>6</v>
      </c>
      <c r="EE62" s="34">
        <f t="shared" si="7"/>
        <v>0</v>
      </c>
      <c r="EF62" s="34">
        <f t="shared" si="8"/>
        <v>0</v>
      </c>
      <c r="EG62" s="32">
        <f t="shared" si="11"/>
        <v>0</v>
      </c>
      <c r="EH62" s="32">
        <f t="shared" si="11"/>
        <v>0</v>
      </c>
      <c r="EI62" s="32">
        <f t="shared" si="11"/>
        <v>0</v>
      </c>
      <c r="EJ62" s="32">
        <f t="shared" si="11"/>
        <v>0</v>
      </c>
      <c r="EK62" s="33"/>
      <c r="EL62" s="33"/>
      <c r="EM62" s="25"/>
    </row>
    <row r="63" spans="1:143" s="19" customFormat="1" ht="30" customHeight="1">
      <c r="A63" s="30"/>
      <c r="B63" s="67" t="s">
        <v>349</v>
      </c>
      <c r="C63" s="24" t="s">
        <v>369</v>
      </c>
      <c r="D63" s="26" t="s">
        <v>254</v>
      </c>
      <c r="E63" s="66" t="s">
        <v>255</v>
      </c>
      <c r="F63" s="48"/>
      <c r="G63" s="48"/>
      <c r="H63" s="31" t="s">
        <v>397</v>
      </c>
      <c r="I63" s="52">
        <v>8</v>
      </c>
      <c r="J63" s="52"/>
      <c r="K63" s="52"/>
      <c r="L63" s="52"/>
      <c r="M63" s="52">
        <v>8</v>
      </c>
      <c r="N63" s="52">
        <v>3</v>
      </c>
      <c r="O63" s="52"/>
      <c r="P63" s="52"/>
      <c r="Q63" s="52">
        <v>8</v>
      </c>
      <c r="R63" s="52">
        <v>3</v>
      </c>
      <c r="S63" s="52"/>
      <c r="T63" s="52"/>
      <c r="U63" s="52">
        <v>8</v>
      </c>
      <c r="V63" s="52"/>
      <c r="W63" s="52"/>
      <c r="X63" s="52"/>
      <c r="Y63" s="52">
        <v>8</v>
      </c>
      <c r="Z63" s="52"/>
      <c r="AA63" s="52"/>
      <c r="AB63" s="52"/>
      <c r="AC63" s="52">
        <v>8</v>
      </c>
      <c r="AD63" s="52"/>
      <c r="AE63" s="52"/>
      <c r="AF63" s="52"/>
      <c r="AG63" s="51"/>
      <c r="AH63" s="51"/>
      <c r="AI63" s="51"/>
      <c r="AJ63" s="51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1"/>
      <c r="BJ63" s="51"/>
      <c r="BK63" s="51"/>
      <c r="BL63" s="51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1"/>
      <c r="CL63" s="51"/>
      <c r="CM63" s="51"/>
      <c r="CN63" s="51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1"/>
      <c r="DN63" s="51"/>
      <c r="DO63" s="51"/>
      <c r="DP63" s="51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34">
        <f t="shared" ref="EC63:EC84" si="12">SUMIF($I$10:$EB$10,$EC$10,I63:EB63)</f>
        <v>48</v>
      </c>
      <c r="ED63" s="34">
        <f t="shared" si="10"/>
        <v>6</v>
      </c>
      <c r="EE63" s="34">
        <f t="shared" ref="EE63:EE84" si="13">SUMIF($I$10:$EB$10,$EE$10,I63:EB63)</f>
        <v>0</v>
      </c>
      <c r="EF63" s="34">
        <f t="shared" ref="EF63:EF84" si="14">SUMIF($I$10:$EB$10,$EF$10,I63:EB63)</f>
        <v>0</v>
      </c>
      <c r="EG63" s="32">
        <f t="shared" si="11"/>
        <v>0</v>
      </c>
      <c r="EH63" s="32">
        <f t="shared" si="11"/>
        <v>0</v>
      </c>
      <c r="EI63" s="32">
        <f t="shared" si="11"/>
        <v>0</v>
      </c>
      <c r="EJ63" s="32">
        <f t="shared" si="11"/>
        <v>0</v>
      </c>
      <c r="EK63" s="33"/>
      <c r="EL63" s="33"/>
      <c r="EM63" s="25"/>
    </row>
    <row r="64" spans="1:143" s="19" customFormat="1" ht="30" customHeight="1">
      <c r="A64" s="30"/>
      <c r="B64" s="67" t="s">
        <v>350</v>
      </c>
      <c r="C64" s="24" t="s">
        <v>380</v>
      </c>
      <c r="D64" s="26" t="s">
        <v>276</v>
      </c>
      <c r="E64" s="66" t="s">
        <v>277</v>
      </c>
      <c r="F64" s="48"/>
      <c r="G64" s="48"/>
      <c r="H64" s="31" t="s">
        <v>397</v>
      </c>
      <c r="I64" s="52">
        <v>8</v>
      </c>
      <c r="J64" s="52"/>
      <c r="K64" s="52"/>
      <c r="L64" s="52"/>
      <c r="M64" s="52">
        <v>8</v>
      </c>
      <c r="N64" s="52">
        <v>3</v>
      </c>
      <c r="O64" s="52"/>
      <c r="P64" s="52"/>
      <c r="Q64" s="52">
        <v>8</v>
      </c>
      <c r="R64" s="52">
        <v>4</v>
      </c>
      <c r="S64" s="52"/>
      <c r="T64" s="52"/>
      <c r="U64" s="52">
        <v>8</v>
      </c>
      <c r="V64" s="52">
        <v>4</v>
      </c>
      <c r="W64" s="52"/>
      <c r="X64" s="52"/>
      <c r="Y64" s="52">
        <v>8</v>
      </c>
      <c r="Z64" s="52"/>
      <c r="AA64" s="52"/>
      <c r="AB64" s="52"/>
      <c r="AC64" s="52">
        <v>8</v>
      </c>
      <c r="AD64" s="52"/>
      <c r="AE64" s="52"/>
      <c r="AF64" s="52"/>
      <c r="AG64" s="51"/>
      <c r="AH64" s="51"/>
      <c r="AI64" s="51"/>
      <c r="AJ64" s="51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1"/>
      <c r="BJ64" s="51"/>
      <c r="BK64" s="51"/>
      <c r="BL64" s="51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1"/>
      <c r="CL64" s="51"/>
      <c r="CM64" s="51"/>
      <c r="CN64" s="51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1"/>
      <c r="DN64" s="51"/>
      <c r="DO64" s="51"/>
      <c r="DP64" s="51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34">
        <f t="shared" si="12"/>
        <v>48</v>
      </c>
      <c r="ED64" s="34">
        <f t="shared" si="10"/>
        <v>11</v>
      </c>
      <c r="EE64" s="34">
        <f t="shared" si="13"/>
        <v>0</v>
      </c>
      <c r="EF64" s="34">
        <f t="shared" si="14"/>
        <v>0</v>
      </c>
      <c r="EG64" s="32">
        <f t="shared" si="11"/>
        <v>0</v>
      </c>
      <c r="EH64" s="32">
        <f t="shared" si="11"/>
        <v>0</v>
      </c>
      <c r="EI64" s="32">
        <f t="shared" si="11"/>
        <v>0</v>
      </c>
      <c r="EJ64" s="32">
        <f t="shared" si="11"/>
        <v>0</v>
      </c>
      <c r="EK64" s="33"/>
      <c r="EL64" s="33"/>
      <c r="EM64" s="25"/>
    </row>
    <row r="65" spans="1:143" s="19" customFormat="1" ht="30" customHeight="1">
      <c r="A65" s="30"/>
      <c r="B65" s="67" t="s">
        <v>351</v>
      </c>
      <c r="C65" s="24" t="s">
        <v>382</v>
      </c>
      <c r="D65" s="26" t="s">
        <v>280</v>
      </c>
      <c r="E65" s="66" t="s">
        <v>281</v>
      </c>
      <c r="F65" s="48"/>
      <c r="G65" s="48"/>
      <c r="H65" s="31" t="s">
        <v>397</v>
      </c>
      <c r="I65" s="52">
        <v>8</v>
      </c>
      <c r="J65" s="52"/>
      <c r="K65" s="52"/>
      <c r="L65" s="52"/>
      <c r="M65" s="52">
        <v>8</v>
      </c>
      <c r="N65" s="52">
        <v>3</v>
      </c>
      <c r="O65" s="52"/>
      <c r="P65" s="52"/>
      <c r="Q65" s="52">
        <v>8</v>
      </c>
      <c r="R65" s="52">
        <v>3</v>
      </c>
      <c r="S65" s="52"/>
      <c r="T65" s="52"/>
      <c r="U65" s="52">
        <v>8</v>
      </c>
      <c r="V65" s="52">
        <v>3</v>
      </c>
      <c r="W65" s="52"/>
      <c r="X65" s="52"/>
      <c r="Y65" s="52">
        <v>8</v>
      </c>
      <c r="Z65" s="52"/>
      <c r="AA65" s="52"/>
      <c r="AB65" s="52"/>
      <c r="AC65" s="52"/>
      <c r="AD65" s="52"/>
      <c r="AE65" s="52"/>
      <c r="AF65" s="52"/>
      <c r="AG65" s="51"/>
      <c r="AH65" s="51"/>
      <c r="AI65" s="51"/>
      <c r="AJ65" s="51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1"/>
      <c r="BJ65" s="51"/>
      <c r="BK65" s="51"/>
      <c r="BL65" s="51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1"/>
      <c r="CL65" s="51"/>
      <c r="CM65" s="51"/>
      <c r="CN65" s="51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1"/>
      <c r="DN65" s="51"/>
      <c r="DO65" s="51"/>
      <c r="DP65" s="51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34">
        <f t="shared" si="12"/>
        <v>40</v>
      </c>
      <c r="ED65" s="34">
        <f t="shared" si="10"/>
        <v>9</v>
      </c>
      <c r="EE65" s="34">
        <f t="shared" si="13"/>
        <v>0</v>
      </c>
      <c r="EF65" s="34">
        <f t="shared" si="14"/>
        <v>0</v>
      </c>
      <c r="EG65" s="32">
        <f t="shared" si="11"/>
        <v>0</v>
      </c>
      <c r="EH65" s="32">
        <f t="shared" si="11"/>
        <v>0</v>
      </c>
      <c r="EI65" s="32">
        <f t="shared" si="11"/>
        <v>0</v>
      </c>
      <c r="EJ65" s="32">
        <f t="shared" si="11"/>
        <v>0</v>
      </c>
      <c r="EK65" s="33"/>
      <c r="EL65" s="33"/>
      <c r="EM65" s="25"/>
    </row>
    <row r="66" spans="1:143" s="19" customFormat="1" ht="30" customHeight="1">
      <c r="A66" s="30"/>
      <c r="B66" s="67" t="s">
        <v>352</v>
      </c>
      <c r="C66" s="24" t="s">
        <v>375</v>
      </c>
      <c r="D66" s="26" t="s">
        <v>266</v>
      </c>
      <c r="E66" s="66" t="s">
        <v>267</v>
      </c>
      <c r="F66" s="48"/>
      <c r="G66" s="48"/>
      <c r="H66" s="31" t="s">
        <v>397</v>
      </c>
      <c r="I66" s="52">
        <v>8</v>
      </c>
      <c r="J66" s="52"/>
      <c r="K66" s="52"/>
      <c r="L66" s="52"/>
      <c r="M66" s="52">
        <v>8</v>
      </c>
      <c r="N66" s="52">
        <v>3</v>
      </c>
      <c r="O66" s="52"/>
      <c r="P66" s="52"/>
      <c r="Q66" s="52">
        <v>8</v>
      </c>
      <c r="R66" s="52">
        <v>3</v>
      </c>
      <c r="S66" s="52"/>
      <c r="T66" s="52"/>
      <c r="U66" s="52">
        <v>8</v>
      </c>
      <c r="V66" s="52">
        <v>3</v>
      </c>
      <c r="W66" s="52"/>
      <c r="X66" s="52"/>
      <c r="Y66" s="52">
        <v>8</v>
      </c>
      <c r="Z66" s="52">
        <v>3</v>
      </c>
      <c r="AA66" s="52"/>
      <c r="AB66" s="52"/>
      <c r="AC66" s="52">
        <v>8</v>
      </c>
      <c r="AD66" s="52"/>
      <c r="AE66" s="52"/>
      <c r="AF66" s="52"/>
      <c r="AG66" s="51"/>
      <c r="AH66" s="51"/>
      <c r="AI66" s="51"/>
      <c r="AJ66" s="51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1"/>
      <c r="BJ66" s="51"/>
      <c r="BK66" s="51"/>
      <c r="BL66" s="51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1"/>
      <c r="CL66" s="51"/>
      <c r="CM66" s="51"/>
      <c r="CN66" s="51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1"/>
      <c r="DN66" s="51"/>
      <c r="DO66" s="51"/>
      <c r="DP66" s="51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34">
        <f t="shared" si="12"/>
        <v>48</v>
      </c>
      <c r="ED66" s="34">
        <f t="shared" si="10"/>
        <v>12</v>
      </c>
      <c r="EE66" s="34">
        <f t="shared" si="13"/>
        <v>0</v>
      </c>
      <c r="EF66" s="34">
        <f t="shared" si="14"/>
        <v>0</v>
      </c>
      <c r="EG66" s="32">
        <f t="shared" si="11"/>
        <v>0</v>
      </c>
      <c r="EH66" s="32">
        <f t="shared" si="11"/>
        <v>0</v>
      </c>
      <c r="EI66" s="32">
        <f t="shared" si="11"/>
        <v>0</v>
      </c>
      <c r="EJ66" s="32">
        <f t="shared" si="11"/>
        <v>0</v>
      </c>
      <c r="EK66" s="33"/>
      <c r="EL66" s="33"/>
      <c r="EM66" s="25"/>
    </row>
    <row r="67" spans="1:143" s="19" customFormat="1" ht="30" customHeight="1">
      <c r="A67" s="30"/>
      <c r="B67" s="67" t="s">
        <v>353</v>
      </c>
      <c r="C67" s="24" t="s">
        <v>381</v>
      </c>
      <c r="D67" s="26" t="s">
        <v>278</v>
      </c>
      <c r="E67" s="66" t="s">
        <v>279</v>
      </c>
      <c r="F67" s="48"/>
      <c r="G67" s="48"/>
      <c r="H67" s="31" t="s">
        <v>397</v>
      </c>
      <c r="I67" s="52">
        <v>8</v>
      </c>
      <c r="J67" s="52"/>
      <c r="K67" s="52"/>
      <c r="L67" s="52"/>
      <c r="M67" s="52">
        <v>8</v>
      </c>
      <c r="N67" s="52">
        <v>3</v>
      </c>
      <c r="O67" s="52"/>
      <c r="P67" s="52"/>
      <c r="Q67" s="52">
        <v>8</v>
      </c>
      <c r="R67" s="52">
        <v>2</v>
      </c>
      <c r="S67" s="52"/>
      <c r="T67" s="52"/>
      <c r="U67" s="52">
        <v>8</v>
      </c>
      <c r="V67" s="52">
        <v>2</v>
      </c>
      <c r="W67" s="52"/>
      <c r="X67" s="52"/>
      <c r="Y67" s="52">
        <v>8</v>
      </c>
      <c r="Z67" s="52">
        <v>3</v>
      </c>
      <c r="AA67" s="52"/>
      <c r="AB67" s="52"/>
      <c r="AC67" s="52">
        <v>8</v>
      </c>
      <c r="AD67" s="52"/>
      <c r="AE67" s="52"/>
      <c r="AF67" s="52"/>
      <c r="AG67" s="51"/>
      <c r="AH67" s="51"/>
      <c r="AI67" s="51"/>
      <c r="AJ67" s="51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1"/>
      <c r="BJ67" s="51"/>
      <c r="BK67" s="51"/>
      <c r="BL67" s="51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1"/>
      <c r="CL67" s="51"/>
      <c r="CM67" s="51"/>
      <c r="CN67" s="51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1"/>
      <c r="DN67" s="51"/>
      <c r="DO67" s="51"/>
      <c r="DP67" s="51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34">
        <f t="shared" si="12"/>
        <v>48</v>
      </c>
      <c r="ED67" s="34">
        <f t="shared" si="10"/>
        <v>10</v>
      </c>
      <c r="EE67" s="34">
        <f t="shared" si="13"/>
        <v>0</v>
      </c>
      <c r="EF67" s="34">
        <f t="shared" si="14"/>
        <v>0</v>
      </c>
      <c r="EG67" s="32">
        <f t="shared" si="11"/>
        <v>0</v>
      </c>
      <c r="EH67" s="32">
        <f t="shared" si="11"/>
        <v>0</v>
      </c>
      <c r="EI67" s="32">
        <f t="shared" si="11"/>
        <v>0</v>
      </c>
      <c r="EJ67" s="32">
        <f t="shared" si="11"/>
        <v>0</v>
      </c>
      <c r="EK67" s="33"/>
      <c r="EL67" s="33"/>
      <c r="EM67" s="25"/>
    </row>
    <row r="68" spans="1:143" s="19" customFormat="1" ht="30" customHeight="1">
      <c r="A68" s="30"/>
      <c r="B68" s="67" t="s">
        <v>354</v>
      </c>
      <c r="C68" s="24" t="s">
        <v>288</v>
      </c>
      <c r="D68" s="26" t="s">
        <v>39</v>
      </c>
      <c r="E68" s="66" t="s">
        <v>38</v>
      </c>
      <c r="F68" s="48"/>
      <c r="G68" s="48"/>
      <c r="H68" s="31" t="s">
        <v>397</v>
      </c>
      <c r="I68" s="52">
        <v>8</v>
      </c>
      <c r="J68" s="52">
        <v>4</v>
      </c>
      <c r="K68" s="52"/>
      <c r="L68" s="52"/>
      <c r="M68" s="52">
        <v>8</v>
      </c>
      <c r="N68" s="52">
        <v>3</v>
      </c>
      <c r="O68" s="52"/>
      <c r="P68" s="52"/>
      <c r="Q68" s="52"/>
      <c r="R68" s="52"/>
      <c r="S68" s="52"/>
      <c r="T68" s="52"/>
      <c r="U68" s="52">
        <v>8</v>
      </c>
      <c r="V68" s="52">
        <v>3</v>
      </c>
      <c r="W68" s="52"/>
      <c r="X68" s="52"/>
      <c r="Y68" s="52">
        <v>8</v>
      </c>
      <c r="Z68" s="52">
        <v>2</v>
      </c>
      <c r="AA68" s="52"/>
      <c r="AB68" s="52"/>
      <c r="AC68" s="52">
        <v>7.5</v>
      </c>
      <c r="AD68" s="52"/>
      <c r="AE68" s="52"/>
      <c r="AF68" s="52"/>
      <c r="AG68" s="51"/>
      <c r="AH68" s="51"/>
      <c r="AI68" s="51"/>
      <c r="AJ68" s="51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1"/>
      <c r="BJ68" s="51"/>
      <c r="BK68" s="51"/>
      <c r="BL68" s="51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1"/>
      <c r="CL68" s="51"/>
      <c r="CM68" s="51"/>
      <c r="CN68" s="51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1"/>
      <c r="DN68" s="51"/>
      <c r="DO68" s="51"/>
      <c r="DP68" s="51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34">
        <f t="shared" si="12"/>
        <v>39.5</v>
      </c>
      <c r="ED68" s="34">
        <f t="shared" si="10"/>
        <v>12</v>
      </c>
      <c r="EE68" s="34">
        <f t="shared" si="13"/>
        <v>0</v>
      </c>
      <c r="EF68" s="34">
        <f t="shared" si="14"/>
        <v>0</v>
      </c>
      <c r="EG68" s="32">
        <f t="shared" si="11"/>
        <v>0</v>
      </c>
      <c r="EH68" s="32">
        <f t="shared" si="11"/>
        <v>0</v>
      </c>
      <c r="EI68" s="32">
        <f t="shared" si="11"/>
        <v>0</v>
      </c>
      <c r="EJ68" s="32">
        <f t="shared" si="11"/>
        <v>0</v>
      </c>
      <c r="EK68" s="33"/>
      <c r="EL68" s="33"/>
      <c r="EM68" s="25"/>
    </row>
    <row r="69" spans="1:143" s="19" customFormat="1" ht="30" customHeight="1">
      <c r="A69" s="30"/>
      <c r="B69" s="67" t="s">
        <v>355</v>
      </c>
      <c r="C69" s="24" t="s">
        <v>289</v>
      </c>
      <c r="D69" s="26" t="s">
        <v>45</v>
      </c>
      <c r="E69" s="66" t="s">
        <v>46</v>
      </c>
      <c r="F69" s="48"/>
      <c r="G69" s="48"/>
      <c r="H69" s="31" t="s">
        <v>397</v>
      </c>
      <c r="I69" s="52">
        <v>8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>
        <v>8</v>
      </c>
      <c r="V69" s="52"/>
      <c r="W69" s="52"/>
      <c r="X69" s="52"/>
      <c r="Y69" s="52"/>
      <c r="Z69" s="52"/>
      <c r="AA69" s="52"/>
      <c r="AB69" s="52"/>
      <c r="AC69" s="52">
        <v>8</v>
      </c>
      <c r="AD69" s="52"/>
      <c r="AE69" s="52"/>
      <c r="AF69" s="52"/>
      <c r="AG69" s="51"/>
      <c r="AH69" s="51"/>
      <c r="AI69" s="51"/>
      <c r="AJ69" s="51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1"/>
      <c r="BJ69" s="51"/>
      <c r="BK69" s="51"/>
      <c r="BL69" s="51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1"/>
      <c r="CL69" s="51"/>
      <c r="CM69" s="51"/>
      <c r="CN69" s="51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1"/>
      <c r="DN69" s="51"/>
      <c r="DO69" s="51"/>
      <c r="DP69" s="51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34">
        <f t="shared" si="12"/>
        <v>24</v>
      </c>
      <c r="ED69" s="34">
        <f t="shared" si="10"/>
        <v>0</v>
      </c>
      <c r="EE69" s="34">
        <f t="shared" si="13"/>
        <v>0</v>
      </c>
      <c r="EF69" s="34">
        <f t="shared" si="14"/>
        <v>0</v>
      </c>
      <c r="EG69" s="32">
        <f t="shared" si="11"/>
        <v>0</v>
      </c>
      <c r="EH69" s="32">
        <f t="shared" si="11"/>
        <v>0</v>
      </c>
      <c r="EI69" s="32">
        <f t="shared" si="11"/>
        <v>0</v>
      </c>
      <c r="EJ69" s="32">
        <f t="shared" si="11"/>
        <v>0</v>
      </c>
      <c r="EK69" s="33"/>
      <c r="EL69" s="33"/>
      <c r="EM69" s="25"/>
    </row>
    <row r="70" spans="1:143" s="19" customFormat="1" ht="30" customHeight="1">
      <c r="A70" s="30">
        <v>2</v>
      </c>
      <c r="B70" s="67" t="s">
        <v>356</v>
      </c>
      <c r="C70" s="24" t="s">
        <v>292</v>
      </c>
      <c r="D70" s="26" t="s">
        <v>60</v>
      </c>
      <c r="E70" s="76" t="s">
        <v>52</v>
      </c>
      <c r="F70" s="48">
        <v>46029</v>
      </c>
      <c r="G70" s="48" t="s">
        <v>44</v>
      </c>
      <c r="H70" s="31" t="s">
        <v>51</v>
      </c>
      <c r="I70" s="52">
        <v>8</v>
      </c>
      <c r="J70" s="52">
        <v>4</v>
      </c>
      <c r="K70" s="52"/>
      <c r="L70" s="52"/>
      <c r="M70" s="52">
        <v>8</v>
      </c>
      <c r="N70" s="52">
        <v>4</v>
      </c>
      <c r="O70" s="52"/>
      <c r="P70" s="52"/>
      <c r="Q70" s="52">
        <v>8</v>
      </c>
      <c r="R70" s="52">
        <v>4</v>
      </c>
      <c r="S70" s="52"/>
      <c r="T70" s="52"/>
      <c r="U70" s="52">
        <v>8</v>
      </c>
      <c r="V70" s="52">
        <v>4</v>
      </c>
      <c r="W70" s="52"/>
      <c r="X70" s="52"/>
      <c r="Y70" s="52">
        <v>8</v>
      </c>
      <c r="Z70" s="52">
        <v>4</v>
      </c>
      <c r="AA70" s="52"/>
      <c r="AB70" s="52"/>
      <c r="AC70" s="52">
        <v>8</v>
      </c>
      <c r="AD70" s="52">
        <v>4</v>
      </c>
      <c r="AE70" s="52"/>
      <c r="AF70" s="52"/>
      <c r="AG70" s="51"/>
      <c r="AH70" s="51"/>
      <c r="AI70" s="51"/>
      <c r="AJ70" s="51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1"/>
      <c r="BJ70" s="51"/>
      <c r="BK70" s="51"/>
      <c r="BL70" s="51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1"/>
      <c r="CL70" s="51"/>
      <c r="CM70" s="51"/>
      <c r="CN70" s="51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1"/>
      <c r="DN70" s="51"/>
      <c r="DO70" s="51"/>
      <c r="DP70" s="51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34">
        <f t="shared" si="12"/>
        <v>48</v>
      </c>
      <c r="ED70" s="34">
        <f t="shared" si="10"/>
        <v>24</v>
      </c>
      <c r="EE70" s="34">
        <f t="shared" si="13"/>
        <v>0</v>
      </c>
      <c r="EF70" s="34">
        <f t="shared" si="14"/>
        <v>0</v>
      </c>
      <c r="EG70" s="32">
        <f t="shared" si="11"/>
        <v>0</v>
      </c>
      <c r="EH70" s="32">
        <f t="shared" si="11"/>
        <v>0</v>
      </c>
      <c r="EI70" s="32">
        <f t="shared" si="11"/>
        <v>0</v>
      </c>
      <c r="EJ70" s="32">
        <f t="shared" si="11"/>
        <v>0</v>
      </c>
      <c r="EK70" s="33"/>
      <c r="EL70" s="33"/>
      <c r="EM70" s="25"/>
    </row>
    <row r="71" spans="1:143" s="19" customFormat="1" ht="30" customHeight="1">
      <c r="A71" s="30">
        <v>3</v>
      </c>
      <c r="B71" s="67" t="s">
        <v>357</v>
      </c>
      <c r="C71" s="24" t="s">
        <v>293</v>
      </c>
      <c r="D71" s="26" t="s">
        <v>59</v>
      </c>
      <c r="E71" s="76" t="s">
        <v>53</v>
      </c>
      <c r="F71" s="48">
        <v>46078</v>
      </c>
      <c r="G71" s="48"/>
      <c r="H71" s="31" t="s">
        <v>51</v>
      </c>
      <c r="I71" s="52">
        <v>8</v>
      </c>
      <c r="J71" s="52">
        <v>4</v>
      </c>
      <c r="K71" s="52"/>
      <c r="L71" s="52"/>
      <c r="M71" s="52">
        <v>8</v>
      </c>
      <c r="N71" s="52">
        <v>4</v>
      </c>
      <c r="O71" s="52"/>
      <c r="P71" s="52"/>
      <c r="Q71" s="52">
        <v>8</v>
      </c>
      <c r="R71" s="52">
        <v>4</v>
      </c>
      <c r="S71" s="52"/>
      <c r="T71" s="52"/>
      <c r="U71" s="52">
        <v>8</v>
      </c>
      <c r="V71" s="52">
        <v>4</v>
      </c>
      <c r="W71" s="52"/>
      <c r="X71" s="52"/>
      <c r="Y71" s="52">
        <v>8</v>
      </c>
      <c r="Z71" s="52">
        <v>4</v>
      </c>
      <c r="AA71" s="52"/>
      <c r="AB71" s="52"/>
      <c r="AC71" s="52">
        <v>8</v>
      </c>
      <c r="AD71" s="52">
        <v>4</v>
      </c>
      <c r="AE71" s="52"/>
      <c r="AF71" s="52"/>
      <c r="AG71" s="51"/>
      <c r="AH71" s="51"/>
      <c r="AI71" s="51"/>
      <c r="AJ71" s="51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1"/>
      <c r="BJ71" s="51"/>
      <c r="BK71" s="51"/>
      <c r="BL71" s="51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1"/>
      <c r="CL71" s="51"/>
      <c r="CM71" s="51"/>
      <c r="CN71" s="51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1"/>
      <c r="DN71" s="51"/>
      <c r="DO71" s="51"/>
      <c r="DP71" s="51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34">
        <f t="shared" si="12"/>
        <v>48</v>
      </c>
      <c r="ED71" s="34">
        <f t="shared" si="10"/>
        <v>24</v>
      </c>
      <c r="EE71" s="34">
        <f t="shared" si="13"/>
        <v>0</v>
      </c>
      <c r="EF71" s="34">
        <f t="shared" si="14"/>
        <v>0</v>
      </c>
      <c r="EG71" s="32">
        <f t="shared" si="11"/>
        <v>0</v>
      </c>
      <c r="EH71" s="32">
        <f t="shared" si="11"/>
        <v>0</v>
      </c>
      <c r="EI71" s="32">
        <f t="shared" si="11"/>
        <v>0</v>
      </c>
      <c r="EJ71" s="32">
        <f t="shared" si="11"/>
        <v>0</v>
      </c>
      <c r="EK71" s="33"/>
      <c r="EL71" s="33"/>
      <c r="EM71" s="25"/>
    </row>
    <row r="72" spans="1:143" s="19" customFormat="1" ht="30" customHeight="1">
      <c r="A72" s="30">
        <v>5</v>
      </c>
      <c r="B72" s="67" t="s">
        <v>358</v>
      </c>
      <c r="C72" s="24" t="s">
        <v>294</v>
      </c>
      <c r="D72" s="26" t="s">
        <v>58</v>
      </c>
      <c r="E72" s="76" t="s">
        <v>54</v>
      </c>
      <c r="F72" s="48">
        <v>45964</v>
      </c>
      <c r="G72" s="48" t="s">
        <v>44</v>
      </c>
      <c r="H72" s="31" t="s">
        <v>51</v>
      </c>
      <c r="I72" s="52">
        <v>8</v>
      </c>
      <c r="J72" s="52">
        <v>4</v>
      </c>
      <c r="K72" s="52"/>
      <c r="L72" s="52"/>
      <c r="M72" s="52">
        <v>8</v>
      </c>
      <c r="N72" s="52">
        <v>4</v>
      </c>
      <c r="O72" s="52"/>
      <c r="P72" s="52"/>
      <c r="Q72" s="52">
        <v>8</v>
      </c>
      <c r="R72" s="52">
        <v>4</v>
      </c>
      <c r="S72" s="52"/>
      <c r="T72" s="52"/>
      <c r="U72" s="52">
        <v>8</v>
      </c>
      <c r="V72" s="52">
        <v>4</v>
      </c>
      <c r="W72" s="52"/>
      <c r="X72" s="52"/>
      <c r="Y72" s="52">
        <v>8</v>
      </c>
      <c r="Z72" s="52">
        <v>4</v>
      </c>
      <c r="AA72" s="52"/>
      <c r="AB72" s="52"/>
      <c r="AC72" s="52">
        <v>8</v>
      </c>
      <c r="AD72" s="52">
        <v>4</v>
      </c>
      <c r="AE72" s="52"/>
      <c r="AF72" s="52"/>
      <c r="AG72" s="51"/>
      <c r="AH72" s="51"/>
      <c r="AI72" s="51"/>
      <c r="AJ72" s="51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1"/>
      <c r="BJ72" s="51"/>
      <c r="BK72" s="51"/>
      <c r="BL72" s="51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1"/>
      <c r="CL72" s="51"/>
      <c r="CM72" s="51"/>
      <c r="CN72" s="51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1"/>
      <c r="DN72" s="51"/>
      <c r="DO72" s="51"/>
      <c r="DP72" s="51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34">
        <f t="shared" si="12"/>
        <v>48</v>
      </c>
      <c r="ED72" s="34">
        <f t="shared" si="10"/>
        <v>24</v>
      </c>
      <c r="EE72" s="34">
        <f t="shared" si="13"/>
        <v>0</v>
      </c>
      <c r="EF72" s="34">
        <f t="shared" si="14"/>
        <v>0</v>
      </c>
      <c r="EG72" s="32">
        <f t="shared" si="11"/>
        <v>0</v>
      </c>
      <c r="EH72" s="32">
        <f t="shared" si="11"/>
        <v>0</v>
      </c>
      <c r="EI72" s="32">
        <f t="shared" si="11"/>
        <v>0</v>
      </c>
      <c r="EJ72" s="32">
        <f t="shared" si="11"/>
        <v>0</v>
      </c>
      <c r="EK72" s="33"/>
      <c r="EL72" s="33"/>
      <c r="EM72" s="25"/>
    </row>
    <row r="73" spans="1:143" s="19" customFormat="1" ht="30" customHeight="1">
      <c r="A73" s="30">
        <v>16</v>
      </c>
      <c r="B73" s="67" t="s">
        <v>359</v>
      </c>
      <c r="C73" s="24" t="s">
        <v>297</v>
      </c>
      <c r="D73" s="26" t="s">
        <v>83</v>
      </c>
      <c r="E73" s="66" t="s">
        <v>73</v>
      </c>
      <c r="F73" s="48">
        <v>46148</v>
      </c>
      <c r="G73" s="48"/>
      <c r="H73" s="31" t="s">
        <v>51</v>
      </c>
      <c r="I73" s="52"/>
      <c r="J73" s="52">
        <v>2</v>
      </c>
      <c r="K73" s="52">
        <v>8</v>
      </c>
      <c r="L73" s="52">
        <v>2</v>
      </c>
      <c r="M73" s="52"/>
      <c r="N73" s="52">
        <v>2</v>
      </c>
      <c r="O73" s="52">
        <v>8</v>
      </c>
      <c r="P73" s="52">
        <v>2</v>
      </c>
      <c r="Q73" s="52"/>
      <c r="R73" s="52">
        <v>2</v>
      </c>
      <c r="S73" s="52">
        <v>8</v>
      </c>
      <c r="T73" s="52">
        <v>2</v>
      </c>
      <c r="U73" s="52"/>
      <c r="V73" s="52">
        <v>2</v>
      </c>
      <c r="W73" s="52">
        <v>8</v>
      </c>
      <c r="X73" s="52">
        <v>2</v>
      </c>
      <c r="Y73" s="52"/>
      <c r="Z73" s="52">
        <v>2</v>
      </c>
      <c r="AA73" s="52">
        <v>8</v>
      </c>
      <c r="AB73" s="52">
        <v>2</v>
      </c>
      <c r="AC73" s="52"/>
      <c r="AD73" s="52"/>
      <c r="AE73" s="52">
        <v>8</v>
      </c>
      <c r="AF73" s="52">
        <v>2</v>
      </c>
      <c r="AG73" s="51"/>
      <c r="AH73" s="51"/>
      <c r="AI73" s="51"/>
      <c r="AJ73" s="51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1"/>
      <c r="BJ73" s="51"/>
      <c r="BK73" s="51"/>
      <c r="BL73" s="51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1"/>
      <c r="CL73" s="51"/>
      <c r="CM73" s="51"/>
      <c r="CN73" s="51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1"/>
      <c r="DN73" s="51"/>
      <c r="DO73" s="51"/>
      <c r="DP73" s="51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34">
        <f t="shared" si="12"/>
        <v>0</v>
      </c>
      <c r="ED73" s="34">
        <f t="shared" si="10"/>
        <v>10</v>
      </c>
      <c r="EE73" s="34">
        <f t="shared" si="13"/>
        <v>48</v>
      </c>
      <c r="EF73" s="34">
        <f t="shared" si="14"/>
        <v>12</v>
      </c>
      <c r="EG73" s="32">
        <f t="shared" si="11"/>
        <v>0</v>
      </c>
      <c r="EH73" s="32">
        <f t="shared" si="11"/>
        <v>0</v>
      </c>
      <c r="EI73" s="32">
        <f t="shared" si="11"/>
        <v>0</v>
      </c>
      <c r="EJ73" s="32">
        <f t="shared" si="11"/>
        <v>0</v>
      </c>
      <c r="EK73" s="33"/>
      <c r="EL73" s="33"/>
      <c r="EM73" s="25"/>
    </row>
    <row r="74" spans="1:143" s="19" customFormat="1" ht="30" customHeight="1">
      <c r="A74" s="30">
        <v>21</v>
      </c>
      <c r="B74" s="67" t="s">
        <v>360</v>
      </c>
      <c r="C74" s="63" t="s">
        <v>177</v>
      </c>
      <c r="D74" s="64" t="s">
        <v>88</v>
      </c>
      <c r="E74" s="77" t="s">
        <v>87</v>
      </c>
      <c r="F74" s="48">
        <v>45783</v>
      </c>
      <c r="G74" s="48"/>
      <c r="H74" s="31" t="s">
        <v>51</v>
      </c>
      <c r="I74" s="52"/>
      <c r="J74" s="52">
        <v>2</v>
      </c>
      <c r="K74" s="52">
        <v>8</v>
      </c>
      <c r="L74" s="52">
        <v>2</v>
      </c>
      <c r="M74" s="52"/>
      <c r="N74" s="52">
        <v>2</v>
      </c>
      <c r="O74" s="52">
        <v>8</v>
      </c>
      <c r="P74" s="52">
        <v>2</v>
      </c>
      <c r="Q74" s="52"/>
      <c r="R74" s="52">
        <v>2</v>
      </c>
      <c r="S74" s="52">
        <v>8</v>
      </c>
      <c r="T74" s="52">
        <v>2</v>
      </c>
      <c r="U74" s="52"/>
      <c r="V74" s="52">
        <v>2</v>
      </c>
      <c r="W74" s="52">
        <v>8</v>
      </c>
      <c r="X74" s="52">
        <v>2</v>
      </c>
      <c r="Y74" s="52"/>
      <c r="Z74" s="52">
        <v>2</v>
      </c>
      <c r="AA74" s="52">
        <v>8</v>
      </c>
      <c r="AB74" s="52">
        <v>2</v>
      </c>
      <c r="AC74" s="52"/>
      <c r="AD74" s="52">
        <v>2</v>
      </c>
      <c r="AE74" s="52">
        <v>8</v>
      </c>
      <c r="AF74" s="52">
        <v>2</v>
      </c>
      <c r="AG74" s="51"/>
      <c r="AH74" s="51"/>
      <c r="AI74" s="51"/>
      <c r="AJ74" s="51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1"/>
      <c r="BJ74" s="51"/>
      <c r="BK74" s="51"/>
      <c r="BL74" s="51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1"/>
      <c r="CL74" s="51"/>
      <c r="CM74" s="51"/>
      <c r="CN74" s="51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1"/>
      <c r="DN74" s="51"/>
      <c r="DO74" s="51"/>
      <c r="DP74" s="51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34">
        <f t="shared" si="12"/>
        <v>0</v>
      </c>
      <c r="ED74" s="34">
        <f t="shared" si="10"/>
        <v>12</v>
      </c>
      <c r="EE74" s="34">
        <f t="shared" si="13"/>
        <v>48</v>
      </c>
      <c r="EF74" s="34">
        <f t="shared" si="14"/>
        <v>12</v>
      </c>
      <c r="EG74" s="32">
        <f t="shared" ref="EG74:EJ84" si="15">SUMIF($I$10:$EB$10,EG$10,$I74:$EB74)</f>
        <v>0</v>
      </c>
      <c r="EH74" s="32">
        <f t="shared" si="15"/>
        <v>0</v>
      </c>
      <c r="EI74" s="32">
        <f t="shared" si="15"/>
        <v>0</v>
      </c>
      <c r="EJ74" s="32">
        <f t="shared" si="15"/>
        <v>0</v>
      </c>
      <c r="EK74" s="33"/>
      <c r="EL74" s="33"/>
      <c r="EM74" s="25"/>
    </row>
    <row r="75" spans="1:143" s="19" customFormat="1" ht="30" customHeight="1">
      <c r="A75" s="30">
        <v>30</v>
      </c>
      <c r="B75" s="67" t="s">
        <v>361</v>
      </c>
      <c r="C75" s="24" t="s">
        <v>172</v>
      </c>
      <c r="D75" s="26" t="s">
        <v>100</v>
      </c>
      <c r="E75" s="66" t="s">
        <v>99</v>
      </c>
      <c r="F75" s="48">
        <v>46162</v>
      </c>
      <c r="G75" s="48"/>
      <c r="H75" s="31" t="s">
        <v>51</v>
      </c>
      <c r="I75" s="52">
        <v>8</v>
      </c>
      <c r="J75" s="52">
        <v>4</v>
      </c>
      <c r="K75" s="52"/>
      <c r="L75" s="52"/>
      <c r="M75" s="52">
        <v>8</v>
      </c>
      <c r="N75" s="52">
        <v>4</v>
      </c>
      <c r="O75" s="52"/>
      <c r="P75" s="52"/>
      <c r="Q75" s="52">
        <v>8</v>
      </c>
      <c r="R75" s="52">
        <v>4</v>
      </c>
      <c r="S75" s="52"/>
      <c r="T75" s="52"/>
      <c r="U75" s="52">
        <v>8</v>
      </c>
      <c r="V75" s="52">
        <v>4</v>
      </c>
      <c r="W75" s="52"/>
      <c r="X75" s="52"/>
      <c r="Y75" s="52">
        <v>8</v>
      </c>
      <c r="Z75" s="52">
        <v>4</v>
      </c>
      <c r="AA75" s="52"/>
      <c r="AB75" s="52"/>
      <c r="AC75" s="52">
        <v>8</v>
      </c>
      <c r="AD75" s="52">
        <v>4</v>
      </c>
      <c r="AE75" s="52"/>
      <c r="AF75" s="52"/>
      <c r="AG75" s="51"/>
      <c r="AH75" s="51"/>
      <c r="AI75" s="51"/>
      <c r="AJ75" s="51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1"/>
      <c r="BJ75" s="51"/>
      <c r="BK75" s="51"/>
      <c r="BL75" s="51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1"/>
      <c r="CL75" s="51"/>
      <c r="CM75" s="51"/>
      <c r="CN75" s="51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1"/>
      <c r="DN75" s="51"/>
      <c r="DO75" s="51"/>
      <c r="DP75" s="51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34">
        <f t="shared" si="12"/>
        <v>48</v>
      </c>
      <c r="ED75" s="34">
        <f t="shared" si="10"/>
        <v>24</v>
      </c>
      <c r="EE75" s="34">
        <f t="shared" si="13"/>
        <v>0</v>
      </c>
      <c r="EF75" s="34">
        <f t="shared" si="14"/>
        <v>0</v>
      </c>
      <c r="EG75" s="32">
        <f t="shared" si="15"/>
        <v>0</v>
      </c>
      <c r="EH75" s="32">
        <f t="shared" si="15"/>
        <v>0</v>
      </c>
      <c r="EI75" s="32">
        <f t="shared" si="15"/>
        <v>0</v>
      </c>
      <c r="EJ75" s="32">
        <f t="shared" si="15"/>
        <v>0</v>
      </c>
      <c r="EK75" s="33"/>
      <c r="EL75" s="33"/>
      <c r="EM75" s="25"/>
    </row>
    <row r="76" spans="1:143" s="19" customFormat="1" ht="30" customHeight="1">
      <c r="A76" s="30">
        <v>31</v>
      </c>
      <c r="B76" s="67" t="s">
        <v>362</v>
      </c>
      <c r="C76" s="24" t="s">
        <v>171</v>
      </c>
      <c r="D76" s="26" t="s">
        <v>102</v>
      </c>
      <c r="E76" s="66" t="s">
        <v>101</v>
      </c>
      <c r="F76" s="48">
        <v>46162</v>
      </c>
      <c r="G76" s="48"/>
      <c r="H76" s="31" t="s">
        <v>51</v>
      </c>
      <c r="I76" s="52"/>
      <c r="J76" s="52">
        <v>2</v>
      </c>
      <c r="K76" s="52">
        <v>8</v>
      </c>
      <c r="L76" s="52">
        <v>2</v>
      </c>
      <c r="M76" s="52"/>
      <c r="N76" s="52">
        <v>2</v>
      </c>
      <c r="O76" s="52">
        <v>8</v>
      </c>
      <c r="P76" s="52">
        <v>2</v>
      </c>
      <c r="Q76" s="52"/>
      <c r="R76" s="52">
        <v>2</v>
      </c>
      <c r="S76" s="52">
        <v>8</v>
      </c>
      <c r="T76" s="52">
        <v>2</v>
      </c>
      <c r="U76" s="52"/>
      <c r="V76" s="52">
        <v>2</v>
      </c>
      <c r="W76" s="52">
        <v>8</v>
      </c>
      <c r="X76" s="52">
        <v>2</v>
      </c>
      <c r="Y76" s="52"/>
      <c r="Z76" s="52"/>
      <c r="AA76" s="52"/>
      <c r="AB76" s="52"/>
      <c r="AC76" s="52"/>
      <c r="AD76" s="52">
        <v>2</v>
      </c>
      <c r="AE76" s="52">
        <v>8</v>
      </c>
      <c r="AF76" s="52">
        <v>2</v>
      </c>
      <c r="AG76" s="51"/>
      <c r="AH76" s="51"/>
      <c r="AI76" s="51"/>
      <c r="AJ76" s="51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1"/>
      <c r="BJ76" s="51"/>
      <c r="BK76" s="51"/>
      <c r="BL76" s="51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1"/>
      <c r="CL76" s="51"/>
      <c r="CM76" s="51"/>
      <c r="CN76" s="51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1"/>
      <c r="DN76" s="51"/>
      <c r="DO76" s="51"/>
      <c r="DP76" s="51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34">
        <f t="shared" si="12"/>
        <v>0</v>
      </c>
      <c r="ED76" s="34">
        <f t="shared" si="10"/>
        <v>10</v>
      </c>
      <c r="EE76" s="34">
        <f t="shared" si="13"/>
        <v>40</v>
      </c>
      <c r="EF76" s="34">
        <f t="shared" si="14"/>
        <v>10</v>
      </c>
      <c r="EG76" s="32">
        <f t="shared" si="15"/>
        <v>0</v>
      </c>
      <c r="EH76" s="32">
        <f t="shared" si="15"/>
        <v>0</v>
      </c>
      <c r="EI76" s="32">
        <f t="shared" si="15"/>
        <v>0</v>
      </c>
      <c r="EJ76" s="32">
        <f t="shared" si="15"/>
        <v>0</v>
      </c>
      <c r="EK76" s="33"/>
      <c r="EL76" s="33"/>
      <c r="EM76" s="25"/>
    </row>
    <row r="77" spans="1:143" s="19" customFormat="1" ht="30" customHeight="1">
      <c r="A77" s="30">
        <v>32</v>
      </c>
      <c r="B77" s="67" t="s">
        <v>363</v>
      </c>
      <c r="C77" s="24" t="s">
        <v>176</v>
      </c>
      <c r="D77" s="26" t="s">
        <v>98</v>
      </c>
      <c r="E77" s="66" t="s">
        <v>97</v>
      </c>
      <c r="F77" s="48">
        <v>46162</v>
      </c>
      <c r="G77" s="48"/>
      <c r="H77" s="31" t="s">
        <v>51</v>
      </c>
      <c r="I77" s="52"/>
      <c r="J77" s="52">
        <v>2</v>
      </c>
      <c r="K77" s="52">
        <v>8</v>
      </c>
      <c r="L77" s="52">
        <v>2</v>
      </c>
      <c r="M77" s="52"/>
      <c r="N77" s="52">
        <v>2</v>
      </c>
      <c r="O77" s="52">
        <v>8</v>
      </c>
      <c r="P77" s="52">
        <v>2</v>
      </c>
      <c r="Q77" s="52"/>
      <c r="R77" s="52">
        <v>1</v>
      </c>
      <c r="S77" s="52">
        <v>8</v>
      </c>
      <c r="T77" s="52">
        <v>2</v>
      </c>
      <c r="U77" s="52"/>
      <c r="V77" s="52"/>
      <c r="W77" s="52"/>
      <c r="X77" s="52"/>
      <c r="Y77" s="52"/>
      <c r="Z77" s="52">
        <v>2</v>
      </c>
      <c r="AA77" s="52">
        <v>8</v>
      </c>
      <c r="AB77" s="52">
        <v>2</v>
      </c>
      <c r="AC77" s="52"/>
      <c r="AD77" s="52">
        <v>2</v>
      </c>
      <c r="AE77" s="52">
        <v>8</v>
      </c>
      <c r="AF77" s="52">
        <v>2</v>
      </c>
      <c r="AG77" s="51"/>
      <c r="AH77" s="51"/>
      <c r="AI77" s="51"/>
      <c r="AJ77" s="51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1"/>
      <c r="BJ77" s="51"/>
      <c r="BK77" s="51"/>
      <c r="BL77" s="51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1"/>
      <c r="CL77" s="51"/>
      <c r="CM77" s="51"/>
      <c r="CN77" s="51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1"/>
      <c r="DN77" s="51"/>
      <c r="DO77" s="51"/>
      <c r="DP77" s="51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34">
        <f t="shared" si="12"/>
        <v>0</v>
      </c>
      <c r="ED77" s="34">
        <f t="shared" si="10"/>
        <v>9</v>
      </c>
      <c r="EE77" s="34">
        <f t="shared" si="13"/>
        <v>40</v>
      </c>
      <c r="EF77" s="34">
        <f t="shared" si="14"/>
        <v>10</v>
      </c>
      <c r="EG77" s="32">
        <f t="shared" si="15"/>
        <v>0</v>
      </c>
      <c r="EH77" s="32">
        <f t="shared" si="15"/>
        <v>0</v>
      </c>
      <c r="EI77" s="32">
        <f t="shared" si="15"/>
        <v>0</v>
      </c>
      <c r="EJ77" s="32">
        <f t="shared" si="15"/>
        <v>0</v>
      </c>
      <c r="EK77" s="33"/>
      <c r="EL77" s="33"/>
      <c r="EM77" s="25"/>
    </row>
    <row r="78" spans="1:143" s="19" customFormat="1" ht="30" customHeight="1">
      <c r="A78" s="30"/>
      <c r="B78" s="67" t="s">
        <v>364</v>
      </c>
      <c r="C78" s="24" t="s">
        <v>388</v>
      </c>
      <c r="D78" s="26" t="s">
        <v>114</v>
      </c>
      <c r="E78" s="66" t="s">
        <v>115</v>
      </c>
      <c r="F78" s="48">
        <v>46162</v>
      </c>
      <c r="G78" s="48"/>
      <c r="H78" s="31" t="s">
        <v>51</v>
      </c>
      <c r="I78" s="52"/>
      <c r="J78" s="52">
        <v>2</v>
      </c>
      <c r="K78" s="52">
        <v>8</v>
      </c>
      <c r="L78" s="52">
        <v>2</v>
      </c>
      <c r="M78" s="52"/>
      <c r="N78" s="52">
        <v>2</v>
      </c>
      <c r="O78" s="52">
        <v>8</v>
      </c>
      <c r="P78" s="52">
        <v>2</v>
      </c>
      <c r="Q78" s="52"/>
      <c r="R78" s="52">
        <v>2</v>
      </c>
      <c r="S78" s="52">
        <v>8</v>
      </c>
      <c r="T78" s="52">
        <v>2</v>
      </c>
      <c r="U78" s="52"/>
      <c r="V78" s="52">
        <v>2</v>
      </c>
      <c r="W78" s="52">
        <v>8</v>
      </c>
      <c r="X78" s="52">
        <v>2</v>
      </c>
      <c r="Y78" s="52"/>
      <c r="Z78" s="52">
        <v>2</v>
      </c>
      <c r="AA78" s="52">
        <v>8</v>
      </c>
      <c r="AB78" s="52">
        <v>2</v>
      </c>
      <c r="AC78" s="52"/>
      <c r="AD78" s="52">
        <v>2</v>
      </c>
      <c r="AE78" s="52">
        <v>8</v>
      </c>
      <c r="AF78" s="52">
        <v>2</v>
      </c>
      <c r="AG78" s="51"/>
      <c r="AH78" s="51"/>
      <c r="AI78" s="51"/>
      <c r="AJ78" s="51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1"/>
      <c r="BJ78" s="51"/>
      <c r="BK78" s="51"/>
      <c r="BL78" s="51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1"/>
      <c r="CL78" s="51"/>
      <c r="CM78" s="51"/>
      <c r="CN78" s="51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1"/>
      <c r="DN78" s="51"/>
      <c r="DO78" s="51"/>
      <c r="DP78" s="51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34">
        <f t="shared" si="12"/>
        <v>0</v>
      </c>
      <c r="ED78" s="34">
        <f t="shared" si="10"/>
        <v>12</v>
      </c>
      <c r="EE78" s="34">
        <f t="shared" si="13"/>
        <v>48</v>
      </c>
      <c r="EF78" s="34">
        <f t="shared" si="14"/>
        <v>12</v>
      </c>
      <c r="EG78" s="32">
        <f t="shared" si="15"/>
        <v>0</v>
      </c>
      <c r="EH78" s="32">
        <f t="shared" si="15"/>
        <v>0</v>
      </c>
      <c r="EI78" s="32">
        <f t="shared" si="15"/>
        <v>0</v>
      </c>
      <c r="EJ78" s="32">
        <f t="shared" si="15"/>
        <v>0</v>
      </c>
      <c r="EK78" s="33"/>
      <c r="EL78" s="33"/>
      <c r="EM78" s="25"/>
    </row>
    <row r="79" spans="1:143" s="19" customFormat="1" ht="30" customHeight="1">
      <c r="A79" s="30"/>
      <c r="B79" s="67" t="s">
        <v>365</v>
      </c>
      <c r="C79" s="76" t="s">
        <v>238</v>
      </c>
      <c r="D79" s="26" t="s">
        <v>139</v>
      </c>
      <c r="E79" s="66" t="s">
        <v>140</v>
      </c>
      <c r="F79" s="48">
        <v>46167</v>
      </c>
      <c r="G79" s="48"/>
      <c r="H79" s="31" t="s">
        <v>51</v>
      </c>
      <c r="I79" s="52">
        <v>8</v>
      </c>
      <c r="J79" s="52">
        <v>4</v>
      </c>
      <c r="K79" s="52"/>
      <c r="L79" s="52"/>
      <c r="M79" s="52">
        <v>8</v>
      </c>
      <c r="N79" s="52">
        <v>4</v>
      </c>
      <c r="O79" s="52"/>
      <c r="P79" s="52"/>
      <c r="Q79" s="52">
        <v>8</v>
      </c>
      <c r="R79" s="52">
        <v>4</v>
      </c>
      <c r="S79" s="52"/>
      <c r="T79" s="52"/>
      <c r="U79" s="52">
        <v>8</v>
      </c>
      <c r="V79" s="52">
        <v>4</v>
      </c>
      <c r="W79" s="52"/>
      <c r="X79" s="52"/>
      <c r="Y79" s="52">
        <v>8</v>
      </c>
      <c r="Z79" s="52">
        <v>4</v>
      </c>
      <c r="AA79" s="52"/>
      <c r="AB79" s="52"/>
      <c r="AC79" s="52"/>
      <c r="AD79" s="52"/>
      <c r="AE79" s="52"/>
      <c r="AF79" s="52"/>
      <c r="AG79" s="51"/>
      <c r="AH79" s="51"/>
      <c r="AI79" s="51"/>
      <c r="AJ79" s="51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1"/>
      <c r="BJ79" s="51"/>
      <c r="BK79" s="51"/>
      <c r="BL79" s="51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1"/>
      <c r="CL79" s="51"/>
      <c r="CM79" s="51"/>
      <c r="CN79" s="51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1"/>
      <c r="DN79" s="51"/>
      <c r="DO79" s="51"/>
      <c r="DP79" s="51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34">
        <f t="shared" si="12"/>
        <v>40</v>
      </c>
      <c r="ED79" s="34">
        <f t="shared" si="10"/>
        <v>20</v>
      </c>
      <c r="EE79" s="34">
        <f t="shared" si="13"/>
        <v>0</v>
      </c>
      <c r="EF79" s="34">
        <f t="shared" si="14"/>
        <v>0</v>
      </c>
      <c r="EG79" s="32">
        <f t="shared" si="15"/>
        <v>0</v>
      </c>
      <c r="EH79" s="32">
        <f t="shared" si="15"/>
        <v>0</v>
      </c>
      <c r="EI79" s="32">
        <f t="shared" si="15"/>
        <v>0</v>
      </c>
      <c r="EJ79" s="32">
        <f t="shared" si="15"/>
        <v>0</v>
      </c>
      <c r="EK79" s="33"/>
      <c r="EL79" s="33"/>
      <c r="EM79" s="25"/>
    </row>
    <row r="80" spans="1:143" s="19" customFormat="1" ht="30" customHeight="1">
      <c r="A80" s="30"/>
      <c r="B80" s="67" t="s">
        <v>366</v>
      </c>
      <c r="C80" s="24" t="s">
        <v>246</v>
      </c>
      <c r="D80" s="26" t="s">
        <v>126</v>
      </c>
      <c r="E80" s="66" t="s">
        <v>127</v>
      </c>
      <c r="F80" s="48">
        <v>46169</v>
      </c>
      <c r="G80" s="48"/>
      <c r="H80" s="31" t="s">
        <v>51</v>
      </c>
      <c r="I80" s="52">
        <v>8</v>
      </c>
      <c r="J80" s="52">
        <v>4</v>
      </c>
      <c r="K80" s="52"/>
      <c r="L80" s="52"/>
      <c r="M80" s="52">
        <v>8</v>
      </c>
      <c r="N80" s="52">
        <v>4</v>
      </c>
      <c r="O80" s="52"/>
      <c r="P80" s="52"/>
      <c r="Q80" s="52">
        <v>8</v>
      </c>
      <c r="R80" s="52">
        <v>4</v>
      </c>
      <c r="S80" s="52"/>
      <c r="T80" s="52"/>
      <c r="U80" s="52">
        <v>8</v>
      </c>
      <c r="V80" s="52">
        <v>4</v>
      </c>
      <c r="W80" s="52"/>
      <c r="X80" s="52"/>
      <c r="Y80" s="52">
        <v>8</v>
      </c>
      <c r="Z80" s="52">
        <v>4</v>
      </c>
      <c r="AA80" s="52"/>
      <c r="AB80" s="52"/>
      <c r="AC80" s="52">
        <v>8</v>
      </c>
      <c r="AD80" s="52">
        <v>4</v>
      </c>
      <c r="AE80" s="52"/>
      <c r="AF80" s="52"/>
      <c r="AG80" s="51"/>
      <c r="AH80" s="51"/>
      <c r="AI80" s="51"/>
      <c r="AJ80" s="51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1"/>
      <c r="BJ80" s="51"/>
      <c r="BK80" s="51"/>
      <c r="BL80" s="51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1"/>
      <c r="CL80" s="51"/>
      <c r="CM80" s="51"/>
      <c r="CN80" s="51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1"/>
      <c r="DN80" s="51"/>
      <c r="DO80" s="51"/>
      <c r="DP80" s="51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34">
        <f t="shared" si="12"/>
        <v>48</v>
      </c>
      <c r="ED80" s="34">
        <f t="shared" si="10"/>
        <v>24</v>
      </c>
      <c r="EE80" s="34">
        <f t="shared" si="13"/>
        <v>0</v>
      </c>
      <c r="EF80" s="34">
        <f t="shared" si="14"/>
        <v>0</v>
      </c>
      <c r="EG80" s="32">
        <f t="shared" si="15"/>
        <v>0</v>
      </c>
      <c r="EH80" s="32">
        <f t="shared" si="15"/>
        <v>0</v>
      </c>
      <c r="EI80" s="32">
        <f t="shared" si="15"/>
        <v>0</v>
      </c>
      <c r="EJ80" s="32">
        <f t="shared" si="15"/>
        <v>0</v>
      </c>
      <c r="EK80" s="33"/>
      <c r="EL80" s="33"/>
      <c r="EM80" s="25"/>
    </row>
    <row r="81" spans="1:143" s="19" customFormat="1" ht="30" customHeight="1">
      <c r="A81" s="30"/>
      <c r="B81" s="67" t="s">
        <v>367</v>
      </c>
      <c r="C81" s="24" t="s">
        <v>244</v>
      </c>
      <c r="D81" s="26" t="s">
        <v>154</v>
      </c>
      <c r="E81" s="82" t="s">
        <v>155</v>
      </c>
      <c r="F81" s="48">
        <v>46169</v>
      </c>
      <c r="G81" s="48"/>
      <c r="H81" s="31" t="s">
        <v>51</v>
      </c>
      <c r="I81" s="52">
        <v>8</v>
      </c>
      <c r="J81" s="52">
        <v>4</v>
      </c>
      <c r="K81" s="52"/>
      <c r="L81" s="52"/>
      <c r="M81" s="52">
        <v>8</v>
      </c>
      <c r="N81" s="52">
        <v>4</v>
      </c>
      <c r="O81" s="52"/>
      <c r="P81" s="52"/>
      <c r="Q81" s="52">
        <v>8</v>
      </c>
      <c r="R81" s="52">
        <v>4</v>
      </c>
      <c r="S81" s="52"/>
      <c r="T81" s="52"/>
      <c r="U81" s="52">
        <v>8</v>
      </c>
      <c r="V81" s="52">
        <v>4</v>
      </c>
      <c r="W81" s="52"/>
      <c r="X81" s="52"/>
      <c r="Y81" s="52"/>
      <c r="Z81" s="52"/>
      <c r="AA81" s="52"/>
      <c r="AB81" s="52"/>
      <c r="AC81" s="52">
        <v>8</v>
      </c>
      <c r="AD81" s="52">
        <v>4</v>
      </c>
      <c r="AE81" s="52"/>
      <c r="AF81" s="52"/>
      <c r="AG81" s="51"/>
      <c r="AH81" s="51"/>
      <c r="AI81" s="51"/>
      <c r="AJ81" s="51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1"/>
      <c r="BJ81" s="51"/>
      <c r="BK81" s="51"/>
      <c r="BL81" s="51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1"/>
      <c r="CL81" s="51"/>
      <c r="CM81" s="51"/>
      <c r="CN81" s="51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1"/>
      <c r="DN81" s="51"/>
      <c r="DO81" s="51"/>
      <c r="DP81" s="51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34">
        <f t="shared" si="12"/>
        <v>40</v>
      </c>
      <c r="ED81" s="34">
        <f t="shared" si="10"/>
        <v>20</v>
      </c>
      <c r="EE81" s="34">
        <f t="shared" si="13"/>
        <v>0</v>
      </c>
      <c r="EF81" s="34">
        <f t="shared" si="14"/>
        <v>0</v>
      </c>
      <c r="EG81" s="32">
        <f t="shared" si="15"/>
        <v>0</v>
      </c>
      <c r="EH81" s="32">
        <f t="shared" si="15"/>
        <v>0</v>
      </c>
      <c r="EI81" s="32">
        <f t="shared" si="15"/>
        <v>0</v>
      </c>
      <c r="EJ81" s="32">
        <f t="shared" si="15"/>
        <v>0</v>
      </c>
      <c r="EK81" s="33"/>
      <c r="EL81" s="33"/>
      <c r="EM81" s="25"/>
    </row>
    <row r="82" spans="1:143" s="19" customFormat="1" ht="30" customHeight="1">
      <c r="A82" s="30"/>
      <c r="B82" s="67" t="s">
        <v>368</v>
      </c>
      <c r="C82" s="24" t="s">
        <v>245</v>
      </c>
      <c r="D82" s="26" t="s">
        <v>156</v>
      </c>
      <c r="E82" s="66" t="s">
        <v>157</v>
      </c>
      <c r="F82" s="48">
        <v>46167</v>
      </c>
      <c r="G82" s="48"/>
      <c r="H82" s="31" t="s">
        <v>51</v>
      </c>
      <c r="I82" s="52">
        <v>8</v>
      </c>
      <c r="J82" s="52">
        <v>4</v>
      </c>
      <c r="K82" s="52"/>
      <c r="L82" s="52"/>
      <c r="M82" s="52">
        <v>8</v>
      </c>
      <c r="N82" s="52">
        <v>4</v>
      </c>
      <c r="O82" s="52"/>
      <c r="P82" s="52"/>
      <c r="Q82" s="52">
        <v>8</v>
      </c>
      <c r="R82" s="52">
        <v>4</v>
      </c>
      <c r="S82" s="52"/>
      <c r="T82" s="52"/>
      <c r="U82" s="52"/>
      <c r="V82" s="52"/>
      <c r="W82" s="52"/>
      <c r="X82" s="52"/>
      <c r="Y82" s="52">
        <v>8</v>
      </c>
      <c r="Z82" s="52">
        <v>4</v>
      </c>
      <c r="AA82" s="52"/>
      <c r="AB82" s="52"/>
      <c r="AC82" s="52">
        <v>8</v>
      </c>
      <c r="AD82" s="52">
        <v>4</v>
      </c>
      <c r="AE82" s="52"/>
      <c r="AF82" s="52"/>
      <c r="AG82" s="51"/>
      <c r="AH82" s="51"/>
      <c r="AI82" s="51"/>
      <c r="AJ82" s="51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1"/>
      <c r="BJ82" s="51"/>
      <c r="BK82" s="51"/>
      <c r="BL82" s="51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1"/>
      <c r="CL82" s="51"/>
      <c r="CM82" s="51"/>
      <c r="CN82" s="51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1"/>
      <c r="DN82" s="51"/>
      <c r="DO82" s="51"/>
      <c r="DP82" s="51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34">
        <f t="shared" si="12"/>
        <v>40</v>
      </c>
      <c r="ED82" s="34">
        <f t="shared" si="10"/>
        <v>20</v>
      </c>
      <c r="EE82" s="34">
        <f t="shared" si="13"/>
        <v>0</v>
      </c>
      <c r="EF82" s="34">
        <f t="shared" si="14"/>
        <v>0</v>
      </c>
      <c r="EG82" s="32">
        <f t="shared" si="15"/>
        <v>0</v>
      </c>
      <c r="EH82" s="32">
        <f t="shared" si="15"/>
        <v>0</v>
      </c>
      <c r="EI82" s="32">
        <f t="shared" si="15"/>
        <v>0</v>
      </c>
      <c r="EJ82" s="32">
        <f t="shared" si="15"/>
        <v>0</v>
      </c>
      <c r="EK82" s="33"/>
      <c r="EL82" s="33"/>
      <c r="EM82" s="25"/>
    </row>
    <row r="83" spans="1:143" s="19" customFormat="1" ht="30" customHeight="1">
      <c r="A83" s="30"/>
      <c r="B83" s="67"/>
      <c r="C83" s="24"/>
      <c r="D83" s="26"/>
      <c r="E83" s="25"/>
      <c r="F83" s="48">
        <v>46174</v>
      </c>
      <c r="G83" s="48"/>
      <c r="H83" s="31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1"/>
      <c r="AH83" s="51"/>
      <c r="AI83" s="51"/>
      <c r="AJ83" s="51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1"/>
      <c r="BJ83" s="51"/>
      <c r="BK83" s="51"/>
      <c r="BL83" s="51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1"/>
      <c r="CL83" s="51"/>
      <c r="CM83" s="51"/>
      <c r="CN83" s="51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1"/>
      <c r="DN83" s="51"/>
      <c r="DO83" s="51"/>
      <c r="DP83" s="51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34">
        <f t="shared" si="12"/>
        <v>0</v>
      </c>
      <c r="ED83" s="34">
        <f t="shared" si="10"/>
        <v>0</v>
      </c>
      <c r="EE83" s="34">
        <f t="shared" si="13"/>
        <v>0</v>
      </c>
      <c r="EF83" s="34">
        <f t="shared" si="14"/>
        <v>0</v>
      </c>
      <c r="EG83" s="32">
        <f t="shared" si="15"/>
        <v>0</v>
      </c>
      <c r="EH83" s="32">
        <f t="shared" si="15"/>
        <v>0</v>
      </c>
      <c r="EI83" s="32">
        <f t="shared" si="15"/>
        <v>0</v>
      </c>
      <c r="EJ83" s="32">
        <f t="shared" si="15"/>
        <v>0</v>
      </c>
      <c r="EK83" s="33"/>
      <c r="EL83" s="33"/>
      <c r="EM83" s="25"/>
    </row>
    <row r="84" spans="1:143" s="19" customFormat="1" ht="30" customHeight="1">
      <c r="A84" s="30"/>
      <c r="B84" s="67"/>
      <c r="C84" s="24"/>
      <c r="D84" s="26"/>
      <c r="E84" s="25"/>
      <c r="F84" s="48">
        <v>46174</v>
      </c>
      <c r="G84" s="48"/>
      <c r="H84" s="31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1"/>
      <c r="AH84" s="51"/>
      <c r="AI84" s="51"/>
      <c r="AJ84" s="51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1"/>
      <c r="BJ84" s="51"/>
      <c r="BK84" s="51"/>
      <c r="BL84" s="51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1"/>
      <c r="CL84" s="51"/>
      <c r="CM84" s="51"/>
      <c r="CN84" s="51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1"/>
      <c r="DN84" s="51"/>
      <c r="DO84" s="51"/>
      <c r="DP84" s="51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34">
        <f t="shared" si="12"/>
        <v>0</v>
      </c>
      <c r="ED84" s="34">
        <f t="shared" si="10"/>
        <v>0</v>
      </c>
      <c r="EE84" s="34">
        <f t="shared" si="13"/>
        <v>0</v>
      </c>
      <c r="EF84" s="34">
        <f t="shared" si="14"/>
        <v>0</v>
      </c>
      <c r="EG84" s="32">
        <f t="shared" si="15"/>
        <v>0</v>
      </c>
      <c r="EH84" s="32">
        <f t="shared" si="15"/>
        <v>0</v>
      </c>
      <c r="EI84" s="32">
        <f t="shared" si="15"/>
        <v>0</v>
      </c>
      <c r="EJ84" s="32">
        <f t="shared" si="15"/>
        <v>0</v>
      </c>
      <c r="EK84" s="33"/>
      <c r="EL84" s="33"/>
      <c r="EM84" s="25"/>
    </row>
    <row r="85" spans="1:143" s="39" customFormat="1" ht="24" customHeight="1">
      <c r="A85" s="35"/>
      <c r="B85" s="75"/>
      <c r="C85" s="78" t="s">
        <v>1</v>
      </c>
      <c r="D85" s="79"/>
      <c r="E85" s="79"/>
      <c r="F85" s="79"/>
      <c r="G85" s="79"/>
      <c r="H85" s="80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68"/>
      <c r="BJ85" s="68"/>
      <c r="BK85" s="68"/>
      <c r="BL85" s="68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7">
        <f t="shared" ref="EC85:EJ85" si="16">SUM(EC11:EC19)</f>
        <v>407</v>
      </c>
      <c r="ED85" s="37">
        <f t="shared" si="16"/>
        <v>132</v>
      </c>
      <c r="EE85" s="37">
        <f t="shared" si="16"/>
        <v>0</v>
      </c>
      <c r="EF85" s="37">
        <f t="shared" si="16"/>
        <v>0</v>
      </c>
      <c r="EG85" s="37">
        <f t="shared" si="16"/>
        <v>0</v>
      </c>
      <c r="EH85" s="37">
        <f t="shared" si="16"/>
        <v>0</v>
      </c>
      <c r="EI85" s="37">
        <f t="shared" si="16"/>
        <v>0</v>
      </c>
      <c r="EJ85" s="37">
        <f t="shared" si="16"/>
        <v>0</v>
      </c>
      <c r="EK85" s="37">
        <f>SUM(EK11:EK84)</f>
        <v>0</v>
      </c>
      <c r="EL85" s="37">
        <f>SUM(EL11:EL84)</f>
        <v>0</v>
      </c>
      <c r="EM85" s="38"/>
    </row>
    <row r="86" spans="1:143" ht="14.25" customHeight="1">
      <c r="CK86" s="15"/>
      <c r="CL86" s="15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21"/>
      <c r="ED86" s="21"/>
      <c r="EE86" s="21"/>
      <c r="EF86" s="21"/>
      <c r="EG86" s="21"/>
      <c r="EH86" s="21"/>
      <c r="EI86" s="21"/>
      <c r="EJ86" s="21"/>
    </row>
  </sheetData>
  <autoFilter ref="A10:EM85" xr:uid="{00000000-0001-0000-0000-000000000000}">
    <sortState xmlns:xlrd2="http://schemas.microsoft.com/office/spreadsheetml/2017/richdata2" ref="A52:EM52">
      <sortCondition ref="E10:E85"/>
    </sortState>
  </autoFilter>
  <mergeCells count="74">
    <mergeCell ref="B7:B10"/>
    <mergeCell ref="CE6:CW6"/>
    <mergeCell ref="M8:P8"/>
    <mergeCell ref="Q8:T8"/>
    <mergeCell ref="U8:X8"/>
    <mergeCell ref="G7:G10"/>
    <mergeCell ref="BM7:BP7"/>
    <mergeCell ref="Y8:AB8"/>
    <mergeCell ref="AG8:AJ8"/>
    <mergeCell ref="AK8:AN8"/>
    <mergeCell ref="AO8:AR8"/>
    <mergeCell ref="F7:F10"/>
    <mergeCell ref="I7:L7"/>
    <mergeCell ref="BU7:BX7"/>
    <mergeCell ref="AO7:AR7"/>
    <mergeCell ref="AS7:AV7"/>
    <mergeCell ref="EK7:EL7"/>
    <mergeCell ref="AG7:AJ7"/>
    <mergeCell ref="AK7:AN7"/>
    <mergeCell ref="CG8:CJ8"/>
    <mergeCell ref="CW7:CZ7"/>
    <mergeCell ref="DA7:DD7"/>
    <mergeCell ref="DE7:DH7"/>
    <mergeCell ref="DI7:DL7"/>
    <mergeCell ref="DM7:DP7"/>
    <mergeCell ref="DQ7:DT7"/>
    <mergeCell ref="DU7:DX7"/>
    <mergeCell ref="CK7:CN7"/>
    <mergeCell ref="CO7:CR7"/>
    <mergeCell ref="CS7:CV7"/>
    <mergeCell ref="BE7:BH7"/>
    <mergeCell ref="BI7:BL7"/>
    <mergeCell ref="EM7:EM10"/>
    <mergeCell ref="AC7:AF7"/>
    <mergeCell ref="AS8:AV8"/>
    <mergeCell ref="AW8:AZ8"/>
    <mergeCell ref="CK8:CN8"/>
    <mergeCell ref="DE8:DH8"/>
    <mergeCell ref="DM8:DP8"/>
    <mergeCell ref="AC8:AF8"/>
    <mergeCell ref="EC7:EJ8"/>
    <mergeCell ref="BA8:BD8"/>
    <mergeCell ref="BE8:BH8"/>
    <mergeCell ref="BI8:BL8"/>
    <mergeCell ref="BM8:BP8"/>
    <mergeCell ref="BQ8:BT8"/>
    <mergeCell ref="BQ7:BT7"/>
    <mergeCell ref="BA7:BD7"/>
    <mergeCell ref="A7:A10"/>
    <mergeCell ref="A4:ED4"/>
    <mergeCell ref="C7:C10"/>
    <mergeCell ref="E7:E10"/>
    <mergeCell ref="H7:H10"/>
    <mergeCell ref="BY7:CB7"/>
    <mergeCell ref="CC7:CF7"/>
    <mergeCell ref="CG7:CJ7"/>
    <mergeCell ref="DY8:EB8"/>
    <mergeCell ref="DY7:EB7"/>
    <mergeCell ref="I8:L8"/>
    <mergeCell ref="BU8:BX8"/>
    <mergeCell ref="BY8:CB8"/>
    <mergeCell ref="CO8:CR8"/>
    <mergeCell ref="CS8:CV8"/>
    <mergeCell ref="DA8:DD8"/>
    <mergeCell ref="AW7:AZ7"/>
    <mergeCell ref="M7:P7"/>
    <mergeCell ref="Q7:T7"/>
    <mergeCell ref="U7:X7"/>
    <mergeCell ref="Y7:AB7"/>
    <mergeCell ref="DI8:DL8"/>
    <mergeCell ref="DU8:DX8"/>
    <mergeCell ref="CW8:CZ8"/>
    <mergeCell ref="DQ8:DT8"/>
    <mergeCell ref="CC8:CF8"/>
  </mergeCells>
  <phoneticPr fontId="5" type="noConversion"/>
  <conditionalFormatting sqref="E8:E10 E1:G7 E11:G1048576">
    <cfRule type="duplicateValues" dxfId="2" priority="360"/>
  </conditionalFormatting>
  <conditionalFormatting sqref="AK7:AK9 AO7:AO9 AS7:AS9 AW7:AW9 BA7:BA9 BE7:BE9 BI7:BI9 BM7:BM9 BQ7:BQ9 BU7:BU9 BY7:BY9 CC7:CC9 CG7:CG9 CK7:CK9 CO7:CO9 CS7:CS9 CW7:CW9 DA7:DA9 DE7:DE9 DI7:DI9 DM7:DM9 DQ7:DQ9 DU7:DU9 DY7:DY9 I10:EJ10 I11:EB85 I8:I9 M7:M9 Q7:Q9 U7:U9 Y7:Y9 AC7:AC9 AG7:AG9">
    <cfRule type="expression" dxfId="1" priority="374">
      <formula>IF(OR(I$10="CN",I$10="OT CN"),1,0)</formula>
    </cfRule>
  </conditionalFormatting>
  <conditionalFormatting sqref="I7">
    <cfRule type="expression" dxfId="0" priority="1">
      <formula>IF(OR(I$10="CN",I$10="OT CN"),1,0)</formula>
    </cfRule>
  </conditionalFormatting>
  <printOptions horizontalCentered="1"/>
  <pageMargins left="0" right="0" top="0" bottom="0" header="0" footer="0"/>
  <pageSetup paperSize="8" scale="54" orientation="landscape" r:id="rId1"/>
  <colBreaks count="1" manualBreakCount="1">
    <brk id="132" max="33" man="1"/>
  </col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5" operator="containsText" id="{873DEAB1-3A72-46E7-B257-BDD2FB98699C}">
            <xm:f>NOT(ISERROR(SEARCH(#REF!,C11)))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C11:G84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D3C-6F9B-4D10-93D9-F0FD65CE4B1D}">
  <dimension ref="A1:F77"/>
  <sheetViews>
    <sheetView zoomScale="50" zoomScaleNormal="50" workbookViewId="0">
      <selection activeCell="A40" sqref="A40:XFD40"/>
    </sheetView>
  </sheetViews>
  <sheetFormatPr baseColWidth="10" defaultColWidth="8.6640625" defaultRowHeight="16"/>
  <cols>
    <col min="1" max="1" width="5.83203125" style="10" customWidth="1"/>
    <col min="2" max="2" width="14.83203125" style="4" customWidth="1"/>
    <col min="3" max="3" width="20.6640625" style="10" customWidth="1"/>
    <col min="4" max="4" width="17.5" style="54" customWidth="1"/>
    <col min="5" max="5" width="20" style="9" customWidth="1"/>
    <col min="6" max="6" width="28.6640625" style="10" customWidth="1"/>
    <col min="7" max="9" width="8.6640625" style="10"/>
    <col min="10" max="10" width="15.1640625" style="10" customWidth="1"/>
    <col min="11" max="11" width="19.5" style="10" customWidth="1"/>
    <col min="12" max="12" width="16.1640625" style="10" customWidth="1"/>
    <col min="13" max="13" width="17.83203125" style="10" customWidth="1"/>
    <col min="14" max="16384" width="8.6640625" style="10"/>
  </cols>
  <sheetData>
    <row r="1" spans="1:6" ht="20.25" customHeight="1">
      <c r="A1" s="114" t="s">
        <v>32</v>
      </c>
      <c r="B1" s="114"/>
      <c r="C1" s="114"/>
      <c r="D1" s="115"/>
      <c r="E1" s="114"/>
    </row>
    <row r="2" spans="1:6" ht="20.25" customHeight="1">
      <c r="A2" s="116"/>
      <c r="B2" s="116"/>
      <c r="C2" s="116"/>
      <c r="D2" s="117"/>
      <c r="E2" s="116"/>
    </row>
    <row r="3" spans="1:6" s="43" customFormat="1" ht="26.25" customHeight="1">
      <c r="A3" s="27" t="s">
        <v>4</v>
      </c>
      <c r="B3" s="28" t="s">
        <v>16</v>
      </c>
      <c r="C3" s="27" t="s">
        <v>15</v>
      </c>
      <c r="D3" s="53" t="s">
        <v>18</v>
      </c>
      <c r="E3" s="29" t="s">
        <v>17</v>
      </c>
      <c r="F3" s="40" t="s">
        <v>33</v>
      </c>
    </row>
    <row r="4" spans="1:6" ht="28.5" customHeight="1">
      <c r="A4" s="2">
        <v>1</v>
      </c>
      <c r="B4" s="3" t="s">
        <v>36</v>
      </c>
      <c r="C4" s="6" t="s">
        <v>37</v>
      </c>
      <c r="D4" s="6" t="s">
        <v>42</v>
      </c>
      <c r="E4" s="5" t="s">
        <v>34</v>
      </c>
      <c r="F4" s="45">
        <f>VLOOKUP(B4,BCC!$D$11:$EM$74,140,0)</f>
        <v>0</v>
      </c>
    </row>
    <row r="5" spans="1:6" ht="28.5" customHeight="1">
      <c r="A5" s="2">
        <v>2</v>
      </c>
      <c r="B5" s="3" t="s">
        <v>39</v>
      </c>
      <c r="C5" s="42" t="s">
        <v>38</v>
      </c>
      <c r="D5" s="6" t="s">
        <v>43</v>
      </c>
      <c r="E5" s="5" t="s">
        <v>34</v>
      </c>
      <c r="F5" s="45">
        <f>VLOOKUP(B5,BCC!$D$11:$EM$74,140,0)</f>
        <v>0</v>
      </c>
    </row>
    <row r="6" spans="1:6" ht="28.5" customHeight="1">
      <c r="A6" s="2">
        <v>4</v>
      </c>
      <c r="B6" s="50" t="s">
        <v>45</v>
      </c>
      <c r="C6" s="42" t="s">
        <v>46</v>
      </c>
      <c r="D6" s="6" t="s">
        <v>70</v>
      </c>
      <c r="E6" s="41" t="s">
        <v>34</v>
      </c>
      <c r="F6" s="45">
        <f>VLOOKUP(B6,BCC!$D$11:$EM$74,140,0)</f>
        <v>0</v>
      </c>
    </row>
    <row r="7" spans="1:6" ht="28.5" customHeight="1">
      <c r="A7" s="2">
        <v>7</v>
      </c>
      <c r="B7" s="3" t="s">
        <v>56</v>
      </c>
      <c r="C7" s="42" t="s">
        <v>49</v>
      </c>
      <c r="D7" s="6" t="s">
        <v>64</v>
      </c>
      <c r="E7" s="41" t="s">
        <v>34</v>
      </c>
      <c r="F7" s="45">
        <f>VLOOKUP(B7,BCC!$D$11:$EM$74,140,0)</f>
        <v>0</v>
      </c>
    </row>
    <row r="8" spans="1:6" ht="28.5" customHeight="1">
      <c r="A8" s="2">
        <v>8</v>
      </c>
      <c r="B8" s="3" t="s">
        <v>57</v>
      </c>
      <c r="C8" s="42" t="s">
        <v>50</v>
      </c>
      <c r="D8" s="6" t="s">
        <v>61</v>
      </c>
      <c r="E8" s="41" t="s">
        <v>34</v>
      </c>
      <c r="F8" s="45">
        <f>VLOOKUP(B8,BCC!$D$11:$EM$74,140,0)</f>
        <v>0</v>
      </c>
    </row>
    <row r="9" spans="1:6" ht="30" customHeight="1">
      <c r="A9" s="2">
        <v>9</v>
      </c>
      <c r="B9" s="3" t="s">
        <v>60</v>
      </c>
      <c r="C9" s="42" t="s">
        <v>52</v>
      </c>
      <c r="D9" s="6" t="s">
        <v>67</v>
      </c>
      <c r="E9" s="41" t="s">
        <v>68</v>
      </c>
      <c r="F9" s="45">
        <f>VLOOKUP(B9,BCC!$D$11:$EM$74,140,0)</f>
        <v>0</v>
      </c>
    </row>
    <row r="10" spans="1:6" ht="30" customHeight="1">
      <c r="A10" s="2">
        <v>10</v>
      </c>
      <c r="B10" s="3" t="s">
        <v>59</v>
      </c>
      <c r="C10" s="42" t="s">
        <v>53</v>
      </c>
      <c r="D10" s="6" t="s">
        <v>66</v>
      </c>
      <c r="E10" s="41" t="s">
        <v>34</v>
      </c>
      <c r="F10" s="45">
        <f>VLOOKUP(B10,BCC!$D$11:$EM$74,140,0)</f>
        <v>0</v>
      </c>
    </row>
    <row r="11" spans="1:6" ht="31" customHeight="1">
      <c r="A11" s="2">
        <v>11</v>
      </c>
      <c r="B11" s="3" t="s">
        <v>58</v>
      </c>
      <c r="C11" s="42" t="s">
        <v>54</v>
      </c>
      <c r="D11" s="6" t="s">
        <v>69</v>
      </c>
      <c r="E11" s="41" t="s">
        <v>47</v>
      </c>
      <c r="F11" s="45">
        <f>VLOOKUP(B11,BCC!$D$11:$EM$74,140,0)</f>
        <v>0</v>
      </c>
    </row>
    <row r="12" spans="1:6" ht="31" customHeight="1">
      <c r="A12" s="2">
        <v>12</v>
      </c>
      <c r="B12" s="3" t="s">
        <v>75</v>
      </c>
      <c r="C12" s="42" t="s">
        <v>71</v>
      </c>
      <c r="D12" s="6" t="s">
        <v>80</v>
      </c>
      <c r="E12" s="41" t="s">
        <v>81</v>
      </c>
      <c r="F12" s="45">
        <f>VLOOKUP(B12,BCC!$D$11:$EM$74,140,0)</f>
        <v>0</v>
      </c>
    </row>
    <row r="13" spans="1:6" ht="31" customHeight="1">
      <c r="A13" s="2">
        <v>13</v>
      </c>
      <c r="B13" s="3" t="s">
        <v>76</v>
      </c>
      <c r="C13" s="42" t="s">
        <v>72</v>
      </c>
      <c r="D13" s="6" t="s">
        <v>78</v>
      </c>
      <c r="E13" s="41" t="s">
        <v>34</v>
      </c>
      <c r="F13" s="45">
        <f>VLOOKUP(B13,BCC!$D$11:$EM$74,140,0)</f>
        <v>0</v>
      </c>
    </row>
    <row r="14" spans="1:6" ht="31" customHeight="1">
      <c r="A14" s="2">
        <v>14</v>
      </c>
      <c r="B14" s="50" t="s">
        <v>83</v>
      </c>
      <c r="C14" s="42" t="s">
        <v>73</v>
      </c>
      <c r="D14" s="6" t="s">
        <v>82</v>
      </c>
      <c r="E14" s="41" t="s">
        <v>47</v>
      </c>
      <c r="F14" s="45">
        <f>VLOOKUP(B14,BCC!$D$11:$EM$74,140,0)</f>
        <v>0</v>
      </c>
    </row>
    <row r="15" spans="1:6" ht="31" customHeight="1">
      <c r="A15" s="2">
        <v>16</v>
      </c>
      <c r="B15" s="3" t="s">
        <v>77</v>
      </c>
      <c r="C15" s="42" t="s">
        <v>74</v>
      </c>
      <c r="D15" s="6" t="s">
        <v>79</v>
      </c>
      <c r="E15" s="41" t="s">
        <v>34</v>
      </c>
      <c r="F15" s="45">
        <f>VLOOKUP(B15,BCC!$D$11:$EM$74,140,0)</f>
        <v>0</v>
      </c>
    </row>
    <row r="16" spans="1:6" ht="31" customHeight="1">
      <c r="A16" s="2">
        <v>17</v>
      </c>
      <c r="B16" s="3" t="s">
        <v>89</v>
      </c>
      <c r="C16" s="42" t="s">
        <v>85</v>
      </c>
      <c r="D16" s="6" t="s">
        <v>205</v>
      </c>
      <c r="E16" s="41" t="s">
        <v>206</v>
      </c>
      <c r="F16" s="45">
        <f>VLOOKUP(B16,BCC!$D$11:$EM$74,140,0)</f>
        <v>0</v>
      </c>
    </row>
    <row r="17" spans="1:6" ht="31" customHeight="1">
      <c r="A17" s="2">
        <v>18</v>
      </c>
      <c r="B17" s="3" t="s">
        <v>90</v>
      </c>
      <c r="C17" s="42" t="s">
        <v>86</v>
      </c>
      <c r="D17" s="6" t="s">
        <v>207</v>
      </c>
      <c r="E17" s="41" t="s">
        <v>208</v>
      </c>
      <c r="F17" s="45">
        <f>VLOOKUP(B17,BCC!$D$11:$EM$74,140,0)</f>
        <v>0</v>
      </c>
    </row>
    <row r="18" spans="1:6" ht="31" customHeight="1">
      <c r="A18" s="2">
        <v>20</v>
      </c>
      <c r="B18" s="3" t="s">
        <v>88</v>
      </c>
      <c r="C18" s="42" t="s">
        <v>87</v>
      </c>
      <c r="D18" s="6" t="s">
        <v>209</v>
      </c>
      <c r="E18" s="41" t="s">
        <v>210</v>
      </c>
      <c r="F18" s="45">
        <f>VLOOKUP(B18,BCC!$D$11:$EM$74,140,0)</f>
        <v>0</v>
      </c>
    </row>
    <row r="19" spans="1:6" ht="31" customHeight="1">
      <c r="A19" s="2">
        <v>21</v>
      </c>
      <c r="B19" s="3" t="s">
        <v>92</v>
      </c>
      <c r="C19" s="42" t="s">
        <v>91</v>
      </c>
      <c r="D19" s="6" t="s">
        <v>198</v>
      </c>
      <c r="E19" s="41" t="s">
        <v>192</v>
      </c>
      <c r="F19" s="45">
        <f>VLOOKUP(B19,BCC!$D$11:$EM$74,140,0)</f>
        <v>0</v>
      </c>
    </row>
    <row r="20" spans="1:6" ht="31" customHeight="1">
      <c r="A20" s="2">
        <v>22</v>
      </c>
      <c r="B20" s="3" t="s">
        <v>94</v>
      </c>
      <c r="C20" s="42" t="s">
        <v>93</v>
      </c>
      <c r="D20" s="6" t="s">
        <v>186</v>
      </c>
      <c r="E20" s="41" t="s">
        <v>34</v>
      </c>
      <c r="F20" s="45">
        <f>VLOOKUP(B20,BCC!$D$11:$EM$74,140,0)</f>
        <v>0</v>
      </c>
    </row>
    <row r="21" spans="1:6" ht="31" customHeight="1">
      <c r="A21" s="2">
        <v>23</v>
      </c>
      <c r="B21" s="3" t="s">
        <v>96</v>
      </c>
      <c r="C21" s="42" t="s">
        <v>95</v>
      </c>
      <c r="D21" s="6" t="s">
        <v>220</v>
      </c>
      <c r="E21" s="41" t="s">
        <v>192</v>
      </c>
      <c r="F21" s="45">
        <f>VLOOKUP(B21,BCC!$D$11:$EM$74,140,0)</f>
        <v>0</v>
      </c>
    </row>
    <row r="22" spans="1:6" ht="31" customHeight="1">
      <c r="A22" s="2">
        <v>24</v>
      </c>
      <c r="B22" s="3" t="s">
        <v>98</v>
      </c>
      <c r="C22" s="42" t="s">
        <v>97</v>
      </c>
      <c r="D22" s="6" t="s">
        <v>221</v>
      </c>
      <c r="E22" s="41" t="s">
        <v>62</v>
      </c>
      <c r="F22" s="45" t="e">
        <f>VLOOKUP(B22,BCC!$D$11:$EM$74,140,0)</f>
        <v>#N/A</v>
      </c>
    </row>
    <row r="23" spans="1:6" ht="31" customHeight="1">
      <c r="A23" s="2">
        <v>25</v>
      </c>
      <c r="B23" s="3" t="s">
        <v>100</v>
      </c>
      <c r="C23" s="42" t="s">
        <v>99</v>
      </c>
      <c r="D23" s="6" t="s">
        <v>224</v>
      </c>
      <c r="E23" s="41" t="s">
        <v>34</v>
      </c>
      <c r="F23" s="45" t="e">
        <f>VLOOKUP(B23,BCC!$D$11:$EM$74,140,0)</f>
        <v>#N/A</v>
      </c>
    </row>
    <row r="24" spans="1:6" ht="31" customHeight="1">
      <c r="A24" s="2">
        <v>26</v>
      </c>
      <c r="B24" s="3" t="s">
        <v>102</v>
      </c>
      <c r="C24" s="42" t="s">
        <v>101</v>
      </c>
      <c r="D24" s="6" t="s">
        <v>179</v>
      </c>
      <c r="E24" s="41" t="s">
        <v>34</v>
      </c>
      <c r="F24" s="45" t="e">
        <f>VLOOKUP(B24,BCC!$D$11:$EM$74,140,0)</f>
        <v>#N/A</v>
      </c>
    </row>
    <row r="25" spans="1:6" ht="31" customHeight="1">
      <c r="A25" s="2">
        <v>27</v>
      </c>
      <c r="B25" s="3" t="s">
        <v>103</v>
      </c>
      <c r="C25" s="42" t="s">
        <v>104</v>
      </c>
      <c r="D25" s="6" t="s">
        <v>202</v>
      </c>
      <c r="E25" s="41" t="s">
        <v>47</v>
      </c>
      <c r="F25" s="45">
        <f>VLOOKUP(B25,BCC!$D$11:$EM$74,140,0)</f>
        <v>0</v>
      </c>
    </row>
    <row r="26" spans="1:6" ht="31" customHeight="1">
      <c r="A26" s="2">
        <v>28</v>
      </c>
      <c r="B26" s="3" t="s">
        <v>252</v>
      </c>
      <c r="C26" s="42" t="s">
        <v>105</v>
      </c>
      <c r="D26" s="6" t="s">
        <v>191</v>
      </c>
      <c r="E26" s="41" t="s">
        <v>192</v>
      </c>
      <c r="F26" s="45">
        <f>VLOOKUP(B26,BCC!$D$11:$EM$74,140,0)</f>
        <v>0</v>
      </c>
    </row>
    <row r="27" spans="1:6" ht="31" customHeight="1">
      <c r="A27" s="2">
        <v>32</v>
      </c>
      <c r="B27" s="3" t="s">
        <v>107</v>
      </c>
      <c r="C27" s="42" t="s">
        <v>108</v>
      </c>
      <c r="D27" s="6" t="s">
        <v>226</v>
      </c>
      <c r="E27" s="41" t="s">
        <v>34</v>
      </c>
      <c r="F27" s="45">
        <f>VLOOKUP(B27,BCC!$D$11:$EM$74,140,0)</f>
        <v>0</v>
      </c>
    </row>
    <row r="28" spans="1:6" ht="31" customHeight="1">
      <c r="A28" s="2">
        <v>33</v>
      </c>
      <c r="B28" s="3" t="s">
        <v>109</v>
      </c>
      <c r="C28" s="42" t="s">
        <v>110</v>
      </c>
      <c r="D28" s="6" t="s">
        <v>184</v>
      </c>
      <c r="E28" s="41" t="s">
        <v>62</v>
      </c>
      <c r="F28" s="45">
        <f>VLOOKUP(B28,BCC!$D$11:$EM$74,140,0)</f>
        <v>0</v>
      </c>
    </row>
    <row r="29" spans="1:6" ht="31" customHeight="1">
      <c r="A29" s="2">
        <v>34</v>
      </c>
      <c r="B29" s="3" t="s">
        <v>251</v>
      </c>
      <c r="C29" s="42" t="s">
        <v>111</v>
      </c>
      <c r="D29" s="6" t="s">
        <v>185</v>
      </c>
      <c r="E29" s="41" t="s">
        <v>47</v>
      </c>
      <c r="F29" s="45">
        <f>VLOOKUP(B29,BCC!$D$11:$EM$74,140,0)</f>
        <v>0</v>
      </c>
    </row>
    <row r="30" spans="1:6" ht="31" customHeight="1">
      <c r="A30" s="2">
        <v>36</v>
      </c>
      <c r="B30" s="3" t="s">
        <v>112</v>
      </c>
      <c r="C30" s="42" t="s">
        <v>113</v>
      </c>
      <c r="D30" s="6" t="s">
        <v>199</v>
      </c>
      <c r="E30" s="41" t="s">
        <v>47</v>
      </c>
      <c r="F30" s="45">
        <f>VLOOKUP(B30,BCC!$D$11:$EM$74,140,0)</f>
        <v>0</v>
      </c>
    </row>
    <row r="31" spans="1:6" ht="31" customHeight="1">
      <c r="A31" s="2">
        <v>37</v>
      </c>
      <c r="B31" s="3" t="s">
        <v>114</v>
      </c>
      <c r="C31" s="42" t="s">
        <v>115</v>
      </c>
      <c r="D31" s="6" t="s">
        <v>213</v>
      </c>
      <c r="E31" s="41" t="s">
        <v>182</v>
      </c>
      <c r="F31" s="45" t="e">
        <f>VLOOKUP(B31,BCC!$D$11:$EM$74,140,0)</f>
        <v>#N/A</v>
      </c>
    </row>
    <row r="32" spans="1:6" ht="31" customHeight="1">
      <c r="A32" s="2">
        <v>38</v>
      </c>
      <c r="B32" s="3" t="s">
        <v>116</v>
      </c>
      <c r="C32" s="42" t="s">
        <v>117</v>
      </c>
      <c r="D32" s="6" t="s">
        <v>218</v>
      </c>
      <c r="E32" s="41" t="s">
        <v>31</v>
      </c>
      <c r="F32" s="45">
        <f>VLOOKUP(B32,BCC!$D$11:$EM$74,140,0)</f>
        <v>0</v>
      </c>
    </row>
    <row r="33" spans="1:6" ht="31" customHeight="1">
      <c r="A33" s="2">
        <v>39</v>
      </c>
      <c r="B33" s="3" t="s">
        <v>118</v>
      </c>
      <c r="C33" s="42" t="s">
        <v>119</v>
      </c>
      <c r="D33" s="6" t="s">
        <v>197</v>
      </c>
      <c r="E33" s="41" t="s">
        <v>34</v>
      </c>
      <c r="F33" s="45">
        <f>VLOOKUP(B33,BCC!$D$11:$EM$74,140,0)</f>
        <v>0</v>
      </c>
    </row>
    <row r="34" spans="1:6" ht="31" customHeight="1">
      <c r="A34" s="2">
        <v>40</v>
      </c>
      <c r="B34" s="3" t="s">
        <v>120</v>
      </c>
      <c r="C34" s="42" t="s">
        <v>121</v>
      </c>
      <c r="D34" s="6" t="s">
        <v>216</v>
      </c>
      <c r="E34" s="41" t="s">
        <v>34</v>
      </c>
      <c r="F34" s="45">
        <f>VLOOKUP(B34,BCC!$D$11:$EM$74,140,0)</f>
        <v>0</v>
      </c>
    </row>
    <row r="35" spans="1:6" ht="31" customHeight="1">
      <c r="A35" s="2">
        <v>42</v>
      </c>
      <c r="B35" s="3" t="s">
        <v>122</v>
      </c>
      <c r="C35" s="42" t="s">
        <v>123</v>
      </c>
      <c r="D35" s="6" t="s">
        <v>200</v>
      </c>
      <c r="E35" s="41" t="s">
        <v>34</v>
      </c>
      <c r="F35" s="45">
        <f>VLOOKUP(B35,BCC!$D$11:$EM$74,140,0)</f>
        <v>0</v>
      </c>
    </row>
    <row r="36" spans="1:6" ht="31" customHeight="1">
      <c r="A36" s="2">
        <v>43</v>
      </c>
      <c r="B36" s="3" t="s">
        <v>124</v>
      </c>
      <c r="C36" s="42" t="s">
        <v>125</v>
      </c>
      <c r="D36" s="6" t="s">
        <v>225</v>
      </c>
      <c r="E36" s="41" t="s">
        <v>62</v>
      </c>
      <c r="F36" s="45">
        <f>VLOOKUP(B36,BCC!$D$11:$EM$74,140,0)</f>
        <v>0</v>
      </c>
    </row>
    <row r="37" spans="1:6" ht="31" customHeight="1">
      <c r="A37" s="2">
        <v>44</v>
      </c>
      <c r="B37" s="3" t="s">
        <v>126</v>
      </c>
      <c r="C37" s="42" t="s">
        <v>127</v>
      </c>
      <c r="D37" s="6" t="s">
        <v>214</v>
      </c>
      <c r="E37" s="41" t="s">
        <v>211</v>
      </c>
      <c r="F37" s="45" t="e">
        <f>VLOOKUP(B37,BCC!$D$11:$EM$74,140,0)</f>
        <v>#N/A</v>
      </c>
    </row>
    <row r="38" spans="1:6" ht="31" customHeight="1">
      <c r="A38" s="2">
        <v>45</v>
      </c>
      <c r="B38" s="3" t="s">
        <v>128</v>
      </c>
      <c r="C38" s="42" t="s">
        <v>129</v>
      </c>
      <c r="D38" s="6" t="s">
        <v>227</v>
      </c>
      <c r="E38" s="41" t="s">
        <v>34</v>
      </c>
      <c r="F38" s="45">
        <f>VLOOKUP(B38,BCC!$D$11:$EM$74,140,0)</f>
        <v>0</v>
      </c>
    </row>
    <row r="39" spans="1:6" ht="31" customHeight="1">
      <c r="A39" s="2">
        <v>46</v>
      </c>
      <c r="B39" s="3" t="s">
        <v>130</v>
      </c>
      <c r="C39" s="42" t="s">
        <v>131</v>
      </c>
      <c r="D39" s="6" t="s">
        <v>193</v>
      </c>
      <c r="E39" s="41" t="s">
        <v>47</v>
      </c>
      <c r="F39" s="45">
        <f>VLOOKUP(B39,BCC!$D$11:$EM$74,140,0)</f>
        <v>0</v>
      </c>
    </row>
    <row r="40" spans="1:6" ht="31" customHeight="1">
      <c r="A40" s="2">
        <v>49</v>
      </c>
      <c r="B40" s="3" t="s">
        <v>55</v>
      </c>
      <c r="C40" s="42" t="s">
        <v>48</v>
      </c>
      <c r="D40" s="6" t="s">
        <v>65</v>
      </c>
      <c r="E40" s="41" t="s">
        <v>34</v>
      </c>
      <c r="F40" s="45">
        <f>VLOOKUP(B40,BCC!$D$11:$EM$74,140,0)</f>
        <v>0</v>
      </c>
    </row>
    <row r="41" spans="1:6" ht="31" customHeight="1">
      <c r="A41" s="2">
        <v>50</v>
      </c>
      <c r="B41" s="3" t="s">
        <v>132</v>
      </c>
      <c r="C41" s="42" t="s">
        <v>133</v>
      </c>
      <c r="D41" s="6" t="s">
        <v>188</v>
      </c>
      <c r="E41" s="41" t="s">
        <v>47</v>
      </c>
      <c r="F41" s="45">
        <f>VLOOKUP(B41,BCC!$D$11:$EM$74,140,0)</f>
        <v>0</v>
      </c>
    </row>
    <row r="42" spans="1:6" ht="31" customHeight="1">
      <c r="A42" s="2">
        <v>51</v>
      </c>
      <c r="B42" s="3" t="s">
        <v>134</v>
      </c>
      <c r="C42" s="42" t="s">
        <v>135</v>
      </c>
      <c r="D42" s="6" t="s">
        <v>187</v>
      </c>
      <c r="E42" s="41" t="s">
        <v>34</v>
      </c>
      <c r="F42" s="45">
        <f>VLOOKUP(B42,BCC!$D$11:$EM$74,140,0)</f>
        <v>0</v>
      </c>
    </row>
    <row r="43" spans="1:6" ht="31" customHeight="1">
      <c r="A43" s="2">
        <v>52</v>
      </c>
      <c r="B43" s="3" t="s">
        <v>136</v>
      </c>
      <c r="C43" s="42" t="s">
        <v>111</v>
      </c>
      <c r="D43" s="6" t="s">
        <v>212</v>
      </c>
      <c r="E43" s="41" t="s">
        <v>34</v>
      </c>
      <c r="F43" s="45">
        <f>VLOOKUP(B43,BCC!$D$11:$EM$74,140,0)</f>
        <v>0</v>
      </c>
    </row>
    <row r="44" spans="1:6" ht="31" customHeight="1">
      <c r="A44" s="2">
        <v>53</v>
      </c>
      <c r="B44" s="3" t="s">
        <v>137</v>
      </c>
      <c r="C44" s="42" t="s">
        <v>138</v>
      </c>
      <c r="D44" s="6" t="s">
        <v>215</v>
      </c>
      <c r="E44" s="41" t="s">
        <v>62</v>
      </c>
      <c r="F44" s="45">
        <f>VLOOKUP(B44,BCC!$D$11:$EM$74,140,0)</f>
        <v>0</v>
      </c>
    </row>
    <row r="45" spans="1:6" ht="31" customHeight="1">
      <c r="A45" s="2">
        <v>54</v>
      </c>
      <c r="B45" s="3" t="s">
        <v>139</v>
      </c>
      <c r="C45" s="42" t="s">
        <v>140</v>
      </c>
      <c r="D45" s="6" t="s">
        <v>196</v>
      </c>
      <c r="E45" s="41" t="s">
        <v>34</v>
      </c>
      <c r="F45" s="45" t="e">
        <f>VLOOKUP(B45,BCC!$D$11:$EM$74,140,0)</f>
        <v>#N/A</v>
      </c>
    </row>
    <row r="46" spans="1:6" ht="31" customHeight="1">
      <c r="A46" s="2">
        <v>55</v>
      </c>
      <c r="B46" s="3" t="s">
        <v>141</v>
      </c>
      <c r="C46" s="42" t="s">
        <v>142</v>
      </c>
      <c r="D46" s="6" t="s">
        <v>219</v>
      </c>
      <c r="E46" s="41" t="s">
        <v>181</v>
      </c>
      <c r="F46" s="45">
        <f>VLOOKUP(B46,BCC!$D$11:$EM$74,140,0)</f>
        <v>0</v>
      </c>
    </row>
    <row r="47" spans="1:6" ht="31" customHeight="1">
      <c r="A47" s="2">
        <v>56</v>
      </c>
      <c r="B47" s="3" t="s">
        <v>143</v>
      </c>
      <c r="C47" s="42" t="s">
        <v>144</v>
      </c>
      <c r="D47" s="6" t="s">
        <v>194</v>
      </c>
      <c r="E47" s="41" t="s">
        <v>192</v>
      </c>
      <c r="F47" s="45">
        <f>VLOOKUP(B47,BCC!$D$11:$EM$74,140,0)</f>
        <v>0</v>
      </c>
    </row>
    <row r="48" spans="1:6" ht="31" customHeight="1">
      <c r="A48" s="2">
        <v>57</v>
      </c>
      <c r="B48" s="3" t="s">
        <v>145</v>
      </c>
      <c r="C48" s="42" t="s">
        <v>146</v>
      </c>
      <c r="D48" s="6" t="s">
        <v>180</v>
      </c>
      <c r="E48" s="41" t="s">
        <v>181</v>
      </c>
      <c r="F48" s="45">
        <f>VLOOKUP(B48,BCC!$D$11:$EM$74,140,0)</f>
        <v>0</v>
      </c>
    </row>
    <row r="49" spans="1:6" ht="31" customHeight="1">
      <c r="A49" s="2">
        <v>58</v>
      </c>
      <c r="B49" s="3" t="s">
        <v>147</v>
      </c>
      <c r="C49" s="42" t="s">
        <v>148</v>
      </c>
      <c r="D49" s="6" t="s">
        <v>203</v>
      </c>
      <c r="E49" s="41" t="s">
        <v>204</v>
      </c>
      <c r="F49" s="45">
        <f>VLOOKUP(B49,BCC!$D$11:$EM$74,140,0)</f>
        <v>0</v>
      </c>
    </row>
    <row r="50" spans="1:6" ht="31" customHeight="1">
      <c r="A50" s="2">
        <v>59</v>
      </c>
      <c r="B50" s="3" t="s">
        <v>253</v>
      </c>
      <c r="C50" s="42" t="s">
        <v>149</v>
      </c>
      <c r="D50" s="6" t="s">
        <v>217</v>
      </c>
      <c r="E50" s="41" t="s">
        <v>34</v>
      </c>
      <c r="F50" s="45" t="e">
        <f>VLOOKUP(B50,BCC!$D$11:$EM$74,140,0)</f>
        <v>#N/A</v>
      </c>
    </row>
    <row r="51" spans="1:6" ht="31" customHeight="1">
      <c r="A51" s="2">
        <v>60</v>
      </c>
      <c r="B51" s="3" t="s">
        <v>150</v>
      </c>
      <c r="C51" s="42" t="s">
        <v>151</v>
      </c>
      <c r="D51" s="6" t="s">
        <v>189</v>
      </c>
      <c r="E51" s="41" t="s">
        <v>181</v>
      </c>
      <c r="F51" s="45">
        <f>VLOOKUP(B51,BCC!$D$11:$EM$74,140,0)</f>
        <v>0</v>
      </c>
    </row>
    <row r="52" spans="1:6" ht="31" customHeight="1">
      <c r="A52" s="2">
        <v>61</v>
      </c>
      <c r="B52" s="3" t="s">
        <v>152</v>
      </c>
      <c r="C52" s="42" t="s">
        <v>153</v>
      </c>
      <c r="D52" s="6" t="s">
        <v>223</v>
      </c>
      <c r="E52" s="41" t="s">
        <v>62</v>
      </c>
      <c r="F52" s="45">
        <f>VLOOKUP(B52,BCC!$D$11:$EM$74,140,0)</f>
        <v>0</v>
      </c>
    </row>
    <row r="53" spans="1:6" ht="31" customHeight="1">
      <c r="A53" s="2">
        <v>63</v>
      </c>
      <c r="B53" s="3" t="s">
        <v>154</v>
      </c>
      <c r="C53" s="42" t="s">
        <v>155</v>
      </c>
      <c r="D53" s="6" t="s">
        <v>190</v>
      </c>
      <c r="E53" s="41" t="s">
        <v>34</v>
      </c>
      <c r="F53" s="45" t="e">
        <f>VLOOKUP(B53,BCC!$D$11:$EM$74,140,0)</f>
        <v>#N/A</v>
      </c>
    </row>
    <row r="54" spans="1:6" ht="31" customHeight="1">
      <c r="A54" s="2">
        <v>64</v>
      </c>
      <c r="B54" s="3" t="s">
        <v>156</v>
      </c>
      <c r="C54" s="42" t="s">
        <v>157</v>
      </c>
      <c r="D54" s="6" t="s">
        <v>195</v>
      </c>
      <c r="E54" s="41" t="s">
        <v>211</v>
      </c>
      <c r="F54" s="45" t="e">
        <f>VLOOKUP(B54,BCC!$D$11:$EM$74,140,0)</f>
        <v>#N/A</v>
      </c>
    </row>
    <row r="55" spans="1:6" ht="31" customHeight="1">
      <c r="A55" s="2">
        <v>65</v>
      </c>
      <c r="B55" s="3" t="s">
        <v>158</v>
      </c>
      <c r="C55" s="42" t="s">
        <v>159</v>
      </c>
      <c r="D55" s="6" t="s">
        <v>222</v>
      </c>
      <c r="E55" s="41" t="s">
        <v>31</v>
      </c>
      <c r="F55" s="45">
        <f>VLOOKUP(B55,BCC!$D$11:$EM$74,140,0)</f>
        <v>0</v>
      </c>
    </row>
    <row r="56" spans="1:6" ht="31" customHeight="1">
      <c r="A56" s="2">
        <v>67</v>
      </c>
      <c r="B56" s="3" t="s">
        <v>160</v>
      </c>
      <c r="C56" s="42" t="s">
        <v>161</v>
      </c>
      <c r="D56" s="6" t="s">
        <v>183</v>
      </c>
      <c r="E56" s="41" t="s">
        <v>34</v>
      </c>
      <c r="F56" s="45">
        <f>VLOOKUP(B56,BCC!$D$11:$EM$74,140,0)</f>
        <v>0</v>
      </c>
    </row>
    <row r="57" spans="1:6" ht="31" customHeight="1">
      <c r="A57" s="2">
        <v>68</v>
      </c>
      <c r="B57" s="3" t="s">
        <v>162</v>
      </c>
      <c r="C57" s="42" t="s">
        <v>106</v>
      </c>
      <c r="D57" s="6" t="s">
        <v>201</v>
      </c>
      <c r="E57" s="41" t="s">
        <v>34</v>
      </c>
      <c r="F57" s="45">
        <f>VLOOKUP(B57,BCC!$D$11:$EM$74,140,0)</f>
        <v>0</v>
      </c>
    </row>
    <row r="58" spans="1:6" ht="33" customHeight="1">
      <c r="A58" s="2">
        <v>70</v>
      </c>
      <c r="B58" s="3" t="s">
        <v>254</v>
      </c>
      <c r="C58" s="42" t="s">
        <v>255</v>
      </c>
      <c r="D58" s="6" t="s">
        <v>415</v>
      </c>
      <c r="E58" s="41" t="s">
        <v>34</v>
      </c>
      <c r="F58" s="45">
        <f>VLOOKUP(B58,BCC!$D$11:$EM$74,140,0)</f>
        <v>0</v>
      </c>
    </row>
    <row r="59" spans="1:6" ht="33" customHeight="1">
      <c r="A59" s="2">
        <v>71</v>
      </c>
      <c r="B59" s="3" t="s">
        <v>256</v>
      </c>
      <c r="C59" s="42" t="s">
        <v>257</v>
      </c>
      <c r="D59" s="6" t="s">
        <v>413</v>
      </c>
      <c r="E59" s="41" t="s">
        <v>181</v>
      </c>
      <c r="F59" s="45">
        <f>VLOOKUP(B59,BCC!$D$11:$EM$74,140,0)</f>
        <v>0</v>
      </c>
    </row>
    <row r="60" spans="1:6" ht="33" customHeight="1">
      <c r="A60" s="2">
        <v>72</v>
      </c>
      <c r="B60" s="3" t="s">
        <v>258</v>
      </c>
      <c r="C60" s="42" t="s">
        <v>259</v>
      </c>
      <c r="D60" s="6" t="s">
        <v>417</v>
      </c>
      <c r="E60" s="41" t="s">
        <v>210</v>
      </c>
      <c r="F60" s="45">
        <f>VLOOKUP(B60,BCC!$D$11:$EM$74,140,0)</f>
        <v>0</v>
      </c>
    </row>
    <row r="61" spans="1:6" ht="33" customHeight="1">
      <c r="A61" s="2">
        <v>74</v>
      </c>
      <c r="B61" s="3" t="s">
        <v>260</v>
      </c>
      <c r="C61" s="42" t="s">
        <v>261</v>
      </c>
      <c r="D61" s="6" t="s">
        <v>407</v>
      </c>
      <c r="E61" s="41" t="s">
        <v>62</v>
      </c>
      <c r="F61" s="45">
        <f>VLOOKUP(B61,BCC!$D$11:$EM$74,140,0)</f>
        <v>0</v>
      </c>
    </row>
    <row r="62" spans="1:6" ht="33" customHeight="1">
      <c r="A62" s="2">
        <v>75</v>
      </c>
      <c r="B62" s="3" t="s">
        <v>262</v>
      </c>
      <c r="C62" s="42" t="s">
        <v>263</v>
      </c>
      <c r="D62" s="6" t="s">
        <v>416</v>
      </c>
      <c r="E62" s="41" t="s">
        <v>34</v>
      </c>
      <c r="F62" s="45">
        <f>VLOOKUP(B62,BCC!$D$11:$EM$74,140,0)</f>
        <v>0</v>
      </c>
    </row>
    <row r="63" spans="1:6" ht="33" customHeight="1">
      <c r="A63" s="2">
        <v>76</v>
      </c>
      <c r="B63" s="3" t="s">
        <v>264</v>
      </c>
      <c r="C63" s="42" t="s">
        <v>265</v>
      </c>
      <c r="D63" s="6" t="s">
        <v>411</v>
      </c>
      <c r="E63" s="41" t="s">
        <v>34</v>
      </c>
      <c r="F63" s="45">
        <f>VLOOKUP(B63,BCC!$D$11:$EM$74,140,0)</f>
        <v>0</v>
      </c>
    </row>
    <row r="64" spans="1:6" ht="33" customHeight="1">
      <c r="A64" s="2">
        <v>80</v>
      </c>
      <c r="B64" s="3" t="s">
        <v>266</v>
      </c>
      <c r="C64" s="42" t="s">
        <v>267</v>
      </c>
      <c r="D64" s="6" t="s">
        <v>406</v>
      </c>
      <c r="E64" s="41" t="s">
        <v>62</v>
      </c>
      <c r="F64" s="45">
        <f>VLOOKUP(B64,BCC!$D$11:$EM$74,140,0)</f>
        <v>0</v>
      </c>
    </row>
    <row r="65" spans="1:6" ht="33" customHeight="1">
      <c r="A65" s="2">
        <v>81</v>
      </c>
      <c r="B65" s="3" t="s">
        <v>268</v>
      </c>
      <c r="C65" s="42" t="s">
        <v>269</v>
      </c>
      <c r="D65" s="6" t="s">
        <v>412</v>
      </c>
      <c r="E65" s="41" t="s">
        <v>62</v>
      </c>
      <c r="F65" s="45">
        <f>VLOOKUP(B65,BCC!$D$11:$EM$74,140,0)</f>
        <v>0</v>
      </c>
    </row>
    <row r="66" spans="1:6" ht="33" customHeight="1">
      <c r="A66" s="2">
        <v>82</v>
      </c>
      <c r="B66" s="3" t="s">
        <v>270</v>
      </c>
      <c r="C66" s="42" t="s">
        <v>271</v>
      </c>
      <c r="D66" s="6" t="s">
        <v>414</v>
      </c>
      <c r="E66" s="41" t="s">
        <v>47</v>
      </c>
      <c r="F66" s="45">
        <f>VLOOKUP(B66,BCC!$D$11:$EM$74,140,0)</f>
        <v>0</v>
      </c>
    </row>
    <row r="67" spans="1:6" ht="33" customHeight="1">
      <c r="A67" s="2">
        <v>84</v>
      </c>
      <c r="B67" s="3" t="s">
        <v>272</v>
      </c>
      <c r="C67" s="42" t="s">
        <v>273</v>
      </c>
      <c r="D67" s="6" t="s">
        <v>419</v>
      </c>
      <c r="E67" s="41" t="s">
        <v>34</v>
      </c>
      <c r="F67" s="45">
        <f>VLOOKUP(B67,BCC!$D$11:$EM$74,140,0)</f>
        <v>0</v>
      </c>
    </row>
    <row r="68" spans="1:6" ht="33" customHeight="1">
      <c r="A68" s="2">
        <v>86</v>
      </c>
      <c r="B68" s="3" t="s">
        <v>274</v>
      </c>
      <c r="C68" s="42" t="s">
        <v>275</v>
      </c>
      <c r="D68" s="6" t="s">
        <v>405</v>
      </c>
      <c r="E68" s="41" t="s">
        <v>62</v>
      </c>
      <c r="F68" s="45">
        <f>VLOOKUP(B68,BCC!$D$11:$EM$74,140,0)</f>
        <v>0</v>
      </c>
    </row>
    <row r="69" spans="1:6" ht="33" customHeight="1">
      <c r="A69" s="2">
        <v>87</v>
      </c>
      <c r="B69" s="3" t="s">
        <v>276</v>
      </c>
      <c r="C69" s="42" t="s">
        <v>277</v>
      </c>
      <c r="D69" s="6" t="s">
        <v>409</v>
      </c>
      <c r="E69" s="41" t="s">
        <v>34</v>
      </c>
      <c r="F69" s="45">
        <f>VLOOKUP(B69,BCC!$D$11:$EM$74,140,0)</f>
        <v>0</v>
      </c>
    </row>
    <row r="70" spans="1:6" ht="33" customHeight="1">
      <c r="A70" s="2">
        <v>88</v>
      </c>
      <c r="B70" s="3" t="s">
        <v>278</v>
      </c>
      <c r="C70" s="42" t="s">
        <v>279</v>
      </c>
      <c r="D70" s="6" t="s">
        <v>410</v>
      </c>
      <c r="E70" s="41" t="s">
        <v>62</v>
      </c>
      <c r="F70" s="45">
        <f>VLOOKUP(B70,BCC!$D$11:$EM$74,140,0)</f>
        <v>0</v>
      </c>
    </row>
    <row r="71" spans="1:6" ht="33" customHeight="1">
      <c r="A71" s="2">
        <v>89</v>
      </c>
      <c r="B71" s="3" t="s">
        <v>280</v>
      </c>
      <c r="C71" s="42" t="s">
        <v>281</v>
      </c>
      <c r="D71" s="6" t="s">
        <v>418</v>
      </c>
      <c r="E71" s="41" t="s">
        <v>192</v>
      </c>
      <c r="F71" s="45">
        <f>VLOOKUP(B71,BCC!$D$11:$EM$74,140,0)</f>
        <v>0</v>
      </c>
    </row>
    <row r="72" spans="1:6" ht="33" customHeight="1">
      <c r="A72" s="2">
        <v>90</v>
      </c>
      <c r="B72" s="3" t="s">
        <v>282</v>
      </c>
      <c r="C72" s="42" t="s">
        <v>283</v>
      </c>
      <c r="D72" s="6" t="s">
        <v>404</v>
      </c>
      <c r="E72" s="41" t="s">
        <v>34</v>
      </c>
      <c r="F72" s="45">
        <f>VLOOKUP(B72,BCC!$D$11:$EM$74,140,0)</f>
        <v>0</v>
      </c>
    </row>
    <row r="73" spans="1:6" ht="33" customHeight="1">
      <c r="A73" s="2">
        <v>91</v>
      </c>
      <c r="B73" s="3" t="s">
        <v>284</v>
      </c>
      <c r="C73" s="42" t="s">
        <v>285</v>
      </c>
      <c r="D73" s="6" t="s">
        <v>403</v>
      </c>
      <c r="E73" s="41" t="s">
        <v>62</v>
      </c>
      <c r="F73" s="45">
        <f>VLOOKUP(B73,BCC!$D$11:$EM$74,140,0)</f>
        <v>0</v>
      </c>
    </row>
    <row r="74" spans="1:6" ht="33" customHeight="1">
      <c r="A74" s="2">
        <v>92</v>
      </c>
      <c r="B74" s="81" t="s">
        <v>401</v>
      </c>
      <c r="C74" s="42" t="s">
        <v>392</v>
      </c>
      <c r="D74" s="6" t="s">
        <v>402</v>
      </c>
      <c r="E74" s="41" t="s">
        <v>47</v>
      </c>
      <c r="F74" s="45">
        <f>VLOOKUP(B74,BCC!$D$11:$EM$74,140,0)</f>
        <v>0</v>
      </c>
    </row>
    <row r="75" spans="1:6" ht="33" customHeight="1">
      <c r="A75" s="2">
        <v>93</v>
      </c>
      <c r="B75" s="3" t="s">
        <v>286</v>
      </c>
      <c r="C75" s="42" t="s">
        <v>287</v>
      </c>
      <c r="D75" s="6" t="s">
        <v>408</v>
      </c>
      <c r="E75" s="41" t="s">
        <v>34</v>
      </c>
      <c r="F75" s="45">
        <f>VLOOKUP(B75,BCC!$D$11:$EM$74,140,0)</f>
        <v>0</v>
      </c>
    </row>
    <row r="76" spans="1:6">
      <c r="F76" s="45" t="e">
        <f>VLOOKUP(B76,STK!D83:EM164,140,0)</f>
        <v>#N/A</v>
      </c>
    </row>
    <row r="77" spans="1:6">
      <c r="F77" s="45" t="e">
        <f>VLOOKUP(B77,STK!D84:EM165,140,0)</f>
        <v>#N/A</v>
      </c>
    </row>
  </sheetData>
  <autoFilter ref="A3:F77" xr:uid="{B725DD3C-6F9B-4D10-93D9-F0FD65CE4B1D}">
    <sortState xmlns:xlrd2="http://schemas.microsoft.com/office/spreadsheetml/2017/richdata2" ref="A4:F57">
      <sortCondition sortBy="cellColor" ref="C3" dxfId="4"/>
    </sortState>
  </autoFilter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BCC</vt:lpstr>
      <vt:lpstr>STK</vt:lpstr>
      <vt:lpstr>BCC!Print_Area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Frank Nguyen</cp:lastModifiedBy>
  <cp:lastPrinted>2020-12-24T07:41:52Z</cp:lastPrinted>
  <dcterms:created xsi:type="dcterms:W3CDTF">2019-01-05T09:11:00Z</dcterms:created>
  <dcterms:modified xsi:type="dcterms:W3CDTF">2026-06-10T09:26:54Z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  <property fmtid="{D5CDD505-2E9C-101B-9397-08002B2CF9AE}" pid="3" name="KSOReadingLayout">
    <vt:bool>false</vt:bool>
  </property>
</Properties>
</file>