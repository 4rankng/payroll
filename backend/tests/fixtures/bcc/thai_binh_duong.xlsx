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Bảng chấm công\"/>
    </mc:Choice>
  </mc:AlternateContent>
  <xr:revisionPtr revIDLastSave="0" documentId="13_ncr:1_{D7757F00-A677-4770-B4C2-09D4AA4C85C9}" xr6:coauthVersionLast="47" xr6:coauthVersionMax="47" xr10:uidLastSave="{00000000-0000-0000-0000-000000000000}"/>
  <bookViews>
    <workbookView xWindow="-108" yWindow="-108" windowWidth="23256" windowHeight="13896" tabRatio="705" activeTab="5" xr2:uid="{00000000-000D-0000-FFFF-FFFF00000000}"/>
  </bookViews>
  <sheets>
    <sheet name="520" sheetId="20" r:id="rId1"/>
    <sheet name="700" sheetId="24" r:id="rId2"/>
    <sheet name="750" sheetId="18" r:id="rId3"/>
    <sheet name="800" sheetId="23" r:id="rId4"/>
    <sheet name="900" sheetId="22" r:id="rId5"/>
    <sheet name="STK" sheetId="19" r:id="rId6"/>
  </sheets>
  <definedNames>
    <definedName name="_xlnm._FilterDatabase" localSheetId="2" hidden="1">'750'!$A$10:$BH$26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26" i="24" l="1"/>
  <c r="BS25" i="24"/>
  <c r="BR25" i="24"/>
  <c r="BQ25" i="24"/>
  <c r="BP25" i="24"/>
  <c r="BS24" i="24"/>
  <c r="BR24" i="24"/>
  <c r="BQ24" i="24"/>
  <c r="BP24" i="24"/>
  <c r="BS23" i="24"/>
  <c r="BR23" i="24"/>
  <c r="BQ23" i="24"/>
  <c r="BP23" i="24"/>
  <c r="BS22" i="24"/>
  <c r="BR22" i="24"/>
  <c r="BQ22" i="24"/>
  <c r="BP22" i="24"/>
  <c r="BS21" i="24"/>
  <c r="BR21" i="24"/>
  <c r="BQ21" i="24"/>
  <c r="BP21" i="24"/>
  <c r="BS20" i="24"/>
  <c r="BR20" i="24"/>
  <c r="BQ20" i="24"/>
  <c r="BP20" i="24"/>
  <c r="BS19" i="24"/>
  <c r="BR19" i="24"/>
  <c r="BQ19" i="24"/>
  <c r="BP19" i="24"/>
  <c r="BS18" i="24"/>
  <c r="BR18" i="24"/>
  <c r="BQ18" i="24"/>
  <c r="BP18" i="24"/>
  <c r="BS17" i="24"/>
  <c r="BR17" i="24"/>
  <c r="BQ17" i="24"/>
  <c r="BP17" i="24"/>
  <c r="BS16" i="24"/>
  <c r="BR16" i="24"/>
  <c r="BQ16" i="24"/>
  <c r="BP16" i="24"/>
  <c r="BS15" i="24"/>
  <c r="BR15" i="24"/>
  <c r="BQ15" i="24"/>
  <c r="BP15" i="24"/>
  <c r="BS14" i="24"/>
  <c r="BR14" i="24"/>
  <c r="BQ14" i="24"/>
  <c r="BP14" i="24"/>
  <c r="BS13" i="24"/>
  <c r="BR13" i="24"/>
  <c r="BQ13" i="24"/>
  <c r="BP13" i="24"/>
  <c r="BS12" i="24"/>
  <c r="BR12" i="24"/>
  <c r="BQ12" i="24"/>
  <c r="BP12" i="24"/>
  <c r="BS11" i="24"/>
  <c r="BS26" i="24" s="1"/>
  <c r="BR11" i="24"/>
  <c r="BR26" i="24" s="1"/>
  <c r="BQ11" i="24"/>
  <c r="BQ26" i="24" s="1"/>
  <c r="BP11" i="24"/>
  <c r="BP26" i="24" s="1"/>
  <c r="BT26" i="23"/>
  <c r="BS25" i="23"/>
  <c r="BR25" i="23"/>
  <c r="BQ25" i="23"/>
  <c r="BP25" i="23"/>
  <c r="BS24" i="23"/>
  <c r="BR24" i="23"/>
  <c r="BQ24" i="23"/>
  <c r="BP24" i="23"/>
  <c r="BS23" i="23"/>
  <c r="BR23" i="23"/>
  <c r="BQ23" i="23"/>
  <c r="BP23" i="23"/>
  <c r="BS22" i="23"/>
  <c r="BR22" i="23"/>
  <c r="BQ22" i="23"/>
  <c r="BP22" i="23"/>
  <c r="BS21" i="23"/>
  <c r="BR21" i="23"/>
  <c r="BQ21" i="23"/>
  <c r="BP21" i="23"/>
  <c r="BS20" i="23"/>
  <c r="BR20" i="23"/>
  <c r="BQ20" i="23"/>
  <c r="BP20" i="23"/>
  <c r="BS19" i="23"/>
  <c r="BR19" i="23"/>
  <c r="BQ19" i="23"/>
  <c r="BP19" i="23"/>
  <c r="BS18" i="23"/>
  <c r="BR18" i="23"/>
  <c r="BQ18" i="23"/>
  <c r="BP18" i="23"/>
  <c r="BS17" i="23"/>
  <c r="BR17" i="23"/>
  <c r="BQ17" i="23"/>
  <c r="BP17" i="23"/>
  <c r="BS16" i="23"/>
  <c r="BR16" i="23"/>
  <c r="BQ16" i="23"/>
  <c r="BP16" i="23"/>
  <c r="BS15" i="23"/>
  <c r="BR15" i="23"/>
  <c r="BQ15" i="23"/>
  <c r="BP15" i="23"/>
  <c r="BS14" i="23"/>
  <c r="BR14" i="23"/>
  <c r="BQ14" i="23"/>
  <c r="BP14" i="23"/>
  <c r="BS13" i="23"/>
  <c r="BR13" i="23"/>
  <c r="BQ13" i="23"/>
  <c r="BP13" i="23"/>
  <c r="BS12" i="23"/>
  <c r="BR12" i="23"/>
  <c r="BQ12" i="23"/>
  <c r="BP12" i="23"/>
  <c r="BS11" i="23"/>
  <c r="BR11" i="23"/>
  <c r="BQ11" i="23"/>
  <c r="BP11" i="23"/>
  <c r="BR26" i="23" l="1"/>
  <c r="BS26" i="23"/>
  <c r="BP26" i="23"/>
  <c r="BQ26" i="23"/>
  <c r="BT26" i="22"/>
  <c r="BS25" i="22"/>
  <c r="BR25" i="22"/>
  <c r="BQ25" i="22"/>
  <c r="BP25" i="22"/>
  <c r="BS24" i="22"/>
  <c r="BR24" i="22"/>
  <c r="BQ24" i="22"/>
  <c r="BP24" i="22"/>
  <c r="BS23" i="22"/>
  <c r="BR23" i="22"/>
  <c r="BQ23" i="22"/>
  <c r="BP23" i="22"/>
  <c r="BS22" i="22"/>
  <c r="BR22" i="22"/>
  <c r="BQ22" i="22"/>
  <c r="BP22" i="22"/>
  <c r="BS21" i="22"/>
  <c r="BR21" i="22"/>
  <c r="BQ21" i="22"/>
  <c r="BP21" i="22"/>
  <c r="BS20" i="22"/>
  <c r="BR20" i="22"/>
  <c r="BQ20" i="22"/>
  <c r="BP20" i="22"/>
  <c r="BS19" i="22"/>
  <c r="BR19" i="22"/>
  <c r="BQ19" i="22"/>
  <c r="BP19" i="22"/>
  <c r="BS18" i="22"/>
  <c r="BR18" i="22"/>
  <c r="BQ18" i="22"/>
  <c r="BP18" i="22"/>
  <c r="BS17" i="22"/>
  <c r="BR17" i="22"/>
  <c r="BQ17" i="22"/>
  <c r="BP17" i="22"/>
  <c r="BS16" i="22"/>
  <c r="BR16" i="22"/>
  <c r="BQ16" i="22"/>
  <c r="BP16" i="22"/>
  <c r="BS15" i="22"/>
  <c r="BR15" i="22"/>
  <c r="BQ15" i="22"/>
  <c r="BP15" i="22"/>
  <c r="BS14" i="22"/>
  <c r="BR14" i="22"/>
  <c r="BQ14" i="22"/>
  <c r="BP14" i="22"/>
  <c r="BS13" i="22"/>
  <c r="BR13" i="22"/>
  <c r="BQ13" i="22"/>
  <c r="BP13" i="22"/>
  <c r="BS12" i="22"/>
  <c r="BR12" i="22"/>
  <c r="BQ12" i="22"/>
  <c r="BP12" i="22"/>
  <c r="BS11" i="22"/>
  <c r="BR11" i="22"/>
  <c r="BR26" i="22" s="1"/>
  <c r="BQ11" i="22"/>
  <c r="BP11" i="22"/>
  <c r="BT26" i="20"/>
  <c r="BS25" i="20"/>
  <c r="BR25" i="20"/>
  <c r="BQ25" i="20"/>
  <c r="BP25" i="20"/>
  <c r="BS24" i="20"/>
  <c r="BR24" i="20"/>
  <c r="BQ24" i="20"/>
  <c r="BP24" i="20"/>
  <c r="BS23" i="20"/>
  <c r="BR23" i="20"/>
  <c r="BQ23" i="20"/>
  <c r="BP23" i="20"/>
  <c r="BS22" i="20"/>
  <c r="BR22" i="20"/>
  <c r="BQ22" i="20"/>
  <c r="BP22" i="20"/>
  <c r="BS21" i="20"/>
  <c r="BR21" i="20"/>
  <c r="BQ21" i="20"/>
  <c r="BP21" i="20"/>
  <c r="BS20" i="20"/>
  <c r="BR20" i="20"/>
  <c r="BQ20" i="20"/>
  <c r="BP20" i="20"/>
  <c r="BS19" i="20"/>
  <c r="BR19" i="20"/>
  <c r="BQ19" i="20"/>
  <c r="BP19" i="20"/>
  <c r="BS18" i="20"/>
  <c r="BR18" i="20"/>
  <c r="BQ18" i="20"/>
  <c r="BP18" i="20"/>
  <c r="BS17" i="20"/>
  <c r="BR17" i="20"/>
  <c r="BQ17" i="20"/>
  <c r="BP17" i="20"/>
  <c r="BS16" i="20"/>
  <c r="BR16" i="20"/>
  <c r="BQ16" i="20"/>
  <c r="BP16" i="20"/>
  <c r="BS15" i="20"/>
  <c r="BR15" i="20"/>
  <c r="BQ15" i="20"/>
  <c r="BP15" i="20"/>
  <c r="BS14" i="20"/>
  <c r="BR14" i="20"/>
  <c r="BQ14" i="20"/>
  <c r="BP14" i="20"/>
  <c r="BS13" i="20"/>
  <c r="BR13" i="20"/>
  <c r="BQ13" i="20"/>
  <c r="BP13" i="20"/>
  <c r="BS12" i="20"/>
  <c r="BR12" i="20"/>
  <c r="BQ12" i="20"/>
  <c r="BP12" i="20"/>
  <c r="BS11" i="20"/>
  <c r="BR11" i="20"/>
  <c r="BQ11" i="20"/>
  <c r="BP11" i="20"/>
  <c r="BS25" i="18"/>
  <c r="BR25" i="18"/>
  <c r="BQ25" i="18"/>
  <c r="BP25" i="18"/>
  <c r="BS24" i="18"/>
  <c r="BR24" i="18"/>
  <c r="BQ24" i="18"/>
  <c r="BP24" i="18"/>
  <c r="BS23" i="18"/>
  <c r="BR23" i="18"/>
  <c r="BQ23" i="18"/>
  <c r="BP23" i="18"/>
  <c r="BS22" i="18"/>
  <c r="BR22" i="18"/>
  <c r="BQ22" i="18"/>
  <c r="BP22" i="18"/>
  <c r="BS21" i="18"/>
  <c r="BR21" i="18"/>
  <c r="BQ21" i="18"/>
  <c r="BP21" i="18"/>
  <c r="BS20" i="18"/>
  <c r="BR20" i="18"/>
  <c r="BQ20" i="18"/>
  <c r="BP20" i="18"/>
  <c r="BS19" i="18"/>
  <c r="BR19" i="18"/>
  <c r="BQ19" i="18"/>
  <c r="BP19" i="18"/>
  <c r="BS18" i="18"/>
  <c r="BR18" i="18"/>
  <c r="BQ18" i="18"/>
  <c r="BP18" i="18"/>
  <c r="BS17" i="18"/>
  <c r="BR17" i="18"/>
  <c r="BQ17" i="18"/>
  <c r="BP17" i="18"/>
  <c r="BS16" i="18"/>
  <c r="BR16" i="18"/>
  <c r="BQ16" i="18"/>
  <c r="BP16" i="18"/>
  <c r="BS15" i="18"/>
  <c r="BR15" i="18"/>
  <c r="BQ15" i="18"/>
  <c r="BP15" i="18"/>
  <c r="BS14" i="18"/>
  <c r="BR14" i="18"/>
  <c r="BQ14" i="18"/>
  <c r="BP14" i="18"/>
  <c r="BS13" i="18"/>
  <c r="BR13" i="18"/>
  <c r="BQ13" i="18"/>
  <c r="BP13" i="18"/>
  <c r="BS12" i="18"/>
  <c r="BR12" i="18"/>
  <c r="BQ12" i="18"/>
  <c r="BP12" i="18"/>
  <c r="BS11" i="18"/>
  <c r="BR11" i="18"/>
  <c r="BQ11" i="18"/>
  <c r="BP11" i="18"/>
  <c r="BP26" i="22" l="1"/>
  <c r="BS26" i="22"/>
  <c r="BQ26" i="22"/>
  <c r="BS26" i="20"/>
  <c r="BR26" i="20"/>
  <c r="BQ26" i="20"/>
  <c r="BP26" i="20"/>
  <c r="BQ26" i="18"/>
  <c r="BS26" i="18"/>
  <c r="BP26" i="18"/>
  <c r="BT26" i="18"/>
  <c r="BR26" i="18"/>
</calcChain>
</file>

<file path=xl/sharedStrings.xml><?xml version="1.0" encoding="utf-8"?>
<sst xmlns="http://schemas.openxmlformats.org/spreadsheetml/2006/main" count="709" uniqueCount="102">
  <si>
    <t>STT</t>
  </si>
  <si>
    <t>Công ty Cổ phần Quốc tế Thương mại và Dịch vụ Việt Pháp</t>
  </si>
  <si>
    <t>MST: 0201307104</t>
  </si>
  <si>
    <t>Địa chỉ: Số 12 Lô 18D Lê Hồng Phong, P.Đằng Lâm, Q.Hải An, Hải Phòng</t>
  </si>
  <si>
    <t>Tổng cộng</t>
  </si>
  <si>
    <t>Mã nhân viên</t>
  </si>
  <si>
    <t>Họ và tên</t>
  </si>
  <si>
    <t>Tổng hợp</t>
  </si>
  <si>
    <t>T2</t>
  </si>
  <si>
    <t>T3</t>
  </si>
  <si>
    <t>T4</t>
  </si>
  <si>
    <t>T5</t>
  </si>
  <si>
    <t>T6</t>
  </si>
  <si>
    <t>T7</t>
  </si>
  <si>
    <t>CN</t>
  </si>
  <si>
    <t>Người lập biểu</t>
  </si>
  <si>
    <t>( Ký &amp; ghi rõ họ tên )</t>
  </si>
  <si>
    <t>Ghi chú</t>
  </si>
  <si>
    <t>HC</t>
  </si>
  <si>
    <t>TCN</t>
  </si>
  <si>
    <t>NN</t>
  </si>
  <si>
    <t>TCNN</t>
  </si>
  <si>
    <t>Nguyễn Văn Cường</t>
  </si>
  <si>
    <t>Suất ăn tăng ca</t>
  </si>
  <si>
    <t>Tên</t>
  </si>
  <si>
    <t>Stk</t>
  </si>
  <si>
    <t>01</t>
  </si>
  <si>
    <t>02</t>
  </si>
  <si>
    <t>03</t>
  </si>
  <si>
    <t>04</t>
  </si>
  <si>
    <t>05</t>
  </si>
  <si>
    <t>06</t>
  </si>
  <si>
    <t>07</t>
  </si>
  <si>
    <t>Stt</t>
  </si>
  <si>
    <t>Ngân Hàng</t>
  </si>
  <si>
    <t>08</t>
  </si>
  <si>
    <t>09</t>
  </si>
  <si>
    <t>10</t>
  </si>
  <si>
    <t>11</t>
  </si>
  <si>
    <t>12</t>
  </si>
  <si>
    <t>13</t>
  </si>
  <si>
    <t>14</t>
  </si>
  <si>
    <t>15</t>
  </si>
  <si>
    <t>BẢNG CHẤM CÔNG THÁNG 07/2026</t>
  </si>
  <si>
    <t>Phạm Văn Vương</t>
  </si>
  <si>
    <t>Bộ phận</t>
  </si>
  <si>
    <t>Thợ hàn CO2 3G</t>
  </si>
  <si>
    <t>Lương 8h</t>
  </si>
  <si>
    <t>Phạm Văn Duy</t>
  </si>
  <si>
    <t>Thợ phụ cơ khí</t>
  </si>
  <si>
    <t>Trịnh Văn Thêm</t>
  </si>
  <si>
    <t xml:space="preserve">SỐ TÀI KHOẢN </t>
  </si>
  <si>
    <t>030084017892</t>
  </si>
  <si>
    <t>1036898596</t>
  </si>
  <si>
    <t>Vietcombank</t>
  </si>
  <si>
    <t>Trần Xuân Dự</t>
  </si>
  <si>
    <t>031092018201</t>
  </si>
  <si>
    <t>12510000927232</t>
  </si>
  <si>
    <t>BIDV</t>
  </si>
  <si>
    <t>0969651961</t>
  </si>
  <si>
    <t>Chu Hữu Quyết</t>
  </si>
  <si>
    <t>Thợ hàn 6G</t>
  </si>
  <si>
    <t>Nguyễn Văn Kiên</t>
  </si>
  <si>
    <t>Thợ hàn Tig - Mig 3G</t>
  </si>
  <si>
    <t>Trần Văn Ly</t>
  </si>
  <si>
    <t>Học việc thợ hàn thêm 1 tuần</t>
  </si>
  <si>
    <t>Trần Văn Trường</t>
  </si>
  <si>
    <t>Thợ hàn - 6G</t>
  </si>
  <si>
    <t>Dương Văn Niên</t>
  </si>
  <si>
    <t>UT- chụp phim</t>
  </si>
  <si>
    <t>Nguyễn Văn Hoàn</t>
  </si>
  <si>
    <t>042080002618</t>
  </si>
  <si>
    <t>019082013861</t>
  </si>
  <si>
    <t>031091004353</t>
  </si>
  <si>
    <t>Đèo Văn Mơi</t>
  </si>
  <si>
    <t>036090006864</t>
  </si>
  <si>
    <t>012097002916</t>
  </si>
  <si>
    <t>031095000910</t>
  </si>
  <si>
    <t>038089053247</t>
  </si>
  <si>
    <t>VietinBank</t>
  </si>
  <si>
    <t>6666357966666</t>
  </si>
  <si>
    <t>MB</t>
  </si>
  <si>
    <t>024092017958</t>
  </si>
  <si>
    <t>0384372762</t>
  </si>
  <si>
    <t>3712205234051</t>
  </si>
  <si>
    <t>Agribank</t>
  </si>
  <si>
    <t>545201616</t>
  </si>
  <si>
    <t>1807026789</t>
  </si>
  <si>
    <t>Techcombank</t>
  </si>
  <si>
    <t>042089005176</t>
  </si>
  <si>
    <t>Nguyễn Xuân Chinh</t>
  </si>
  <si>
    <t>9371989888</t>
  </si>
  <si>
    <t>9397347411</t>
  </si>
  <si>
    <t>040090002913</t>
  </si>
  <si>
    <t>Lê Văn Thuật</t>
  </si>
  <si>
    <t>5141105994</t>
  </si>
  <si>
    <t>6G - UT chụp phim</t>
  </si>
  <si>
    <t>Vũ Văn Trường</t>
  </si>
  <si>
    <t>031086002640</t>
  </si>
  <si>
    <t>Cao Văn Hùng</t>
  </si>
  <si>
    <t>030088005740</t>
  </si>
  <si>
    <t>UT chụp phim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</si>
</sst>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\ _₫_-;\-* #,##0.00\ _₫_-;_-* &quot;-&quot;??\ _₫_-;_-@_-"/>
    <numFmt numFmtId="166" formatCode="0.0"/>
    <numFmt numFmtId="167" formatCode="[$-F800]dddd\,\ mmmm\ dd\,\ yyyy"/>
    <numFmt numFmtId="168" formatCode="dd"/>
    <numFmt numFmtId="169" formatCode="&quot;T&quot;General"/>
    <numFmt numFmtId="170" formatCode="_-* #,##0.0_-;\-* #,##0.0_-;_-* &quot;-&quot;??_-;_-@_-"/>
    <numFmt numFmtId="171" formatCode="_-* #,##0_-;\-* #,##0_-;_-* &quot;-&quot;??_-;_-@_-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charset val="129"/>
    </font>
    <font>
      <sz val="10"/>
      <name val="Arial"/>
      <family val="2"/>
    </font>
    <font>
      <sz val="11"/>
      <name val="Tahoma"/>
      <family val="2"/>
    </font>
    <font>
      <b/>
      <sz val="11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24"/>
      <name val="Tahoma"/>
      <family val="2"/>
    </font>
    <font>
      <b/>
      <sz val="12"/>
      <color rgb="FF000000"/>
      <name val="Times New Roman"/>
      <family val="1"/>
    </font>
    <font>
      <i/>
      <sz val="12"/>
      <name val="Tahoma"/>
      <family val="2"/>
    </font>
    <font>
      <b/>
      <i/>
      <sz val="16"/>
      <name val="Tahoma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  <charset val="163"/>
    </font>
    <font>
      <sz val="12"/>
      <color rgb="FF000000"/>
      <name val="Tahoma"/>
      <family val="2"/>
      <charset val="163"/>
    </font>
    <font>
      <b/>
      <sz val="12"/>
      <color rgb="FF000000"/>
      <name val="Tahoma"/>
      <family val="2"/>
    </font>
    <font>
      <b/>
      <sz val="14"/>
      <color rgb="FF000000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rgb="FF081B3A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/>
    <xf numFmtId="165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167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26" fillId="0" borderId="0" applyFont="0" applyFill="0" applyBorder="0" applyAlignment="0" applyProtection="0"/>
  </cellStyleXfs>
  <cellXfs count="104">
    <xf numFmtId="0" fontId="0" fillId="0" borderId="0" xfId="0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8" fillId="2" borderId="0" xfId="0" applyNumberFormat="1" applyFont="1" applyFill="1">
      <alignment vertical="center"/>
    </xf>
    <xf numFmtId="0" fontId="9" fillId="3" borderId="0" xfId="0" applyFont="1" applyFill="1">
      <alignment vertical="center"/>
    </xf>
    <xf numFmtId="0" fontId="8" fillId="0" borderId="0" xfId="0" applyFont="1">
      <alignment vertical="center"/>
    </xf>
    <xf numFmtId="0" fontId="18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15" fillId="4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5" fillId="0" borderId="1" xfId="0" quotePrefix="1" applyFont="1" applyBorder="1">
      <alignment vertical="center"/>
    </xf>
    <xf numFmtId="0" fontId="15" fillId="0" borderId="1" xfId="0" applyFont="1" applyBorder="1">
      <alignment vertical="center"/>
    </xf>
    <xf numFmtId="171" fontId="17" fillId="0" borderId="1" xfId="2" applyNumberFormat="1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1" fontId="11" fillId="6" borderId="1" xfId="0" applyNumberFormat="1" applyFont="1" applyFill="1" applyBorder="1" applyAlignment="1">
      <alignment horizontal="center" vertical="center"/>
    </xf>
    <xf numFmtId="170" fontId="11" fillId="6" borderId="1" xfId="2" applyNumberFormat="1" applyFont="1" applyFill="1" applyBorder="1" applyAlignment="1">
      <alignment horizontal="center" vertical="center"/>
    </xf>
    <xf numFmtId="171" fontId="17" fillId="5" borderId="1" xfId="2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70" fontId="11" fillId="0" borderId="0" xfId="2" applyNumberFormat="1" applyFont="1" applyFill="1" applyBorder="1" applyAlignment="1">
      <alignment horizontal="center" vertical="center"/>
    </xf>
    <xf numFmtId="171" fontId="17" fillId="0" borderId="0" xfId="2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170" fontId="23" fillId="0" borderId="1" xfId="2" applyNumberFormat="1" applyFont="1" applyFill="1" applyBorder="1" applyAlignment="1">
      <alignment horizontal="center" vertical="center" wrapText="1"/>
    </xf>
    <xf numFmtId="1" fontId="23" fillId="0" borderId="1" xfId="2" applyNumberFormat="1" applyFont="1" applyFill="1" applyBorder="1" applyAlignment="1">
      <alignment horizontal="center" vertical="center" wrapText="1"/>
    </xf>
    <xf numFmtId="166" fontId="22" fillId="2" borderId="1" xfId="0" applyNumberFormat="1" applyFont="1" applyFill="1" applyBorder="1" applyAlignment="1">
      <alignment horizontal="center" vertical="center" wrapText="1"/>
    </xf>
    <xf numFmtId="0" fontId="25" fillId="0" borderId="0" xfId="0" applyFont="1" applyAlignment="1"/>
    <xf numFmtId="49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/>
    <xf numFmtId="49" fontId="25" fillId="0" borderId="1" xfId="0" applyNumberFormat="1" applyFont="1" applyBorder="1" applyAlignment="1"/>
    <xf numFmtId="49" fontId="25" fillId="0" borderId="0" xfId="0" applyNumberFormat="1" applyFont="1" applyAlignment="1"/>
    <xf numFmtId="0" fontId="15" fillId="0" borderId="4" xfId="0" quotePrefix="1" applyFont="1" applyBorder="1">
      <alignment vertical="center"/>
    </xf>
    <xf numFmtId="0" fontId="15" fillId="0" borderId="4" xfId="0" applyFont="1" applyBorder="1">
      <alignment vertical="center"/>
    </xf>
    <xf numFmtId="0" fontId="15" fillId="0" borderId="6" xfId="0" applyFont="1" applyBorder="1" applyAlignment="1">
      <alignment horizontal="left"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>
      <alignment vertical="center"/>
    </xf>
    <xf numFmtId="49" fontId="7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5" fillId="9" borderId="3" xfId="0" applyFont="1" applyFill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166" fontId="22" fillId="10" borderId="1" xfId="0" applyNumberFormat="1" applyFont="1" applyFill="1" applyBorder="1" applyAlignment="1">
      <alignment horizontal="center" vertical="center" wrapText="1"/>
    </xf>
    <xf numFmtId="0" fontId="15" fillId="0" borderId="6" xfId="0" applyFont="1" applyBorder="1">
      <alignment vertical="center"/>
    </xf>
    <xf numFmtId="164" fontId="9" fillId="3" borderId="0" xfId="9" applyFont="1" applyFill="1" applyAlignment="1">
      <alignment vertical="center"/>
    </xf>
    <xf numFmtId="164" fontId="9" fillId="2" borderId="0" xfId="9" applyFont="1" applyFill="1" applyAlignment="1">
      <alignment horizontal="center" vertical="center"/>
    </xf>
    <xf numFmtId="164" fontId="8" fillId="2" borderId="0" xfId="9" applyFont="1" applyFill="1" applyAlignment="1">
      <alignment horizontal="center" vertical="center" wrapText="1"/>
    </xf>
    <xf numFmtId="164" fontId="15" fillId="0" borderId="6" xfId="9" applyFont="1" applyBorder="1" applyAlignment="1">
      <alignment horizontal="left" vertical="center" wrapText="1"/>
    </xf>
    <xf numFmtId="164" fontId="15" fillId="0" borderId="0" xfId="9" applyFont="1" applyAlignment="1">
      <alignment horizontal="center" vertical="center"/>
    </xf>
    <xf numFmtId="164" fontId="12" fillId="2" borderId="0" xfId="9" applyFont="1" applyFill="1" applyAlignment="1">
      <alignment horizontal="center" vertical="center"/>
    </xf>
    <xf numFmtId="164" fontId="8" fillId="2" borderId="0" xfId="9" applyFont="1" applyFill="1" applyAlignment="1">
      <alignment horizontal="center" vertical="center"/>
    </xf>
    <xf numFmtId="164" fontId="13" fillId="2" borderId="0" xfId="9" applyFont="1" applyFill="1" applyAlignment="1">
      <alignment horizontal="center"/>
    </xf>
    <xf numFmtId="164" fontId="8" fillId="2" borderId="0" xfId="9" applyFont="1" applyFill="1" applyAlignment="1">
      <alignment vertical="center"/>
    </xf>
    <xf numFmtId="0" fontId="25" fillId="0" borderId="1" xfId="0" quotePrefix="1" applyFont="1" applyBorder="1" applyAlignment="1"/>
    <xf numFmtId="169" fontId="14" fillId="7" borderId="3" xfId="2" applyNumberFormat="1" applyFont="1" applyFill="1" applyBorder="1" applyAlignment="1">
      <alignment horizontal="center" vertical="center" wrapText="1"/>
    </xf>
    <xf numFmtId="169" fontId="14" fillId="7" borderId="6" xfId="2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168" fontId="11" fillId="4" borderId="3" xfId="0" applyNumberFormat="1" applyFont="1" applyFill="1" applyBorder="1" applyAlignment="1">
      <alignment horizontal="center" vertical="center" wrapText="1"/>
    </xf>
    <xf numFmtId="168" fontId="11" fillId="4" borderId="6" xfId="0" applyNumberFormat="1" applyFont="1" applyFill="1" applyBorder="1" applyAlignment="1">
      <alignment horizontal="center" vertical="center" wrapText="1"/>
    </xf>
    <xf numFmtId="169" fontId="14" fillId="7" borderId="3" xfId="2" applyNumberFormat="1" applyFont="1" applyFill="1" applyBorder="1" applyAlignment="1">
      <alignment horizontal="center" vertical="center" wrapText="1"/>
    </xf>
    <xf numFmtId="169" fontId="14" fillId="7" borderId="6" xfId="2" applyNumberFormat="1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14" fontId="15" fillId="4" borderId="2" xfId="0" applyNumberFormat="1" applyFont="1" applyFill="1" applyBorder="1" applyAlignment="1">
      <alignment horizontal="center" vertical="center" wrapText="1"/>
    </xf>
    <xf numFmtId="14" fontId="15" fillId="4" borderId="8" xfId="0" applyNumberFormat="1" applyFont="1" applyFill="1" applyBorder="1" applyAlignment="1">
      <alignment horizontal="center" vertical="center" wrapText="1"/>
    </xf>
    <xf numFmtId="14" fontId="15" fillId="4" borderId="9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164" fontId="15" fillId="4" borderId="2" xfId="9" applyFont="1" applyFill="1" applyBorder="1" applyAlignment="1">
      <alignment horizontal="center" vertical="center" wrapText="1"/>
    </xf>
    <xf numFmtId="164" fontId="15" fillId="4" borderId="8" xfId="9" applyFont="1" applyFill="1" applyBorder="1" applyAlignment="1">
      <alignment horizontal="center" vertical="center" wrapText="1"/>
    </xf>
    <xf numFmtId="164" fontId="15" fillId="4" borderId="9" xfId="9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171" fontId="20" fillId="4" borderId="2" xfId="2" applyNumberFormat="1" applyFont="1" applyFill="1" applyBorder="1" applyAlignment="1">
      <alignment horizontal="center" vertical="center" wrapText="1"/>
    </xf>
    <xf numFmtId="171" fontId="20" fillId="4" borderId="8" xfId="2" applyNumberFormat="1" applyFont="1" applyFill="1" applyBorder="1" applyAlignment="1">
      <alignment horizontal="center" vertical="center" wrapText="1"/>
    </xf>
    <xf numFmtId="171" fontId="20" fillId="4" borderId="9" xfId="2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14" fillId="0" borderId="1" xfId="0" quotePrefix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left" vertical="center"/>
    </xf>
    <xf numFmtId="0" fontId="28" fillId="0" borderId="1" xfId="0" quotePrefix="1" applyFont="1" applyBorder="1" applyAlignment="1">
      <alignment horizontal="left" vertical="center"/>
    </xf>
    <xf numFmtId="0" fontId="27" fillId="0" borderId="0" xfId="0" quotePrefix="1" applyFont="1" applyAlignment="1">
      <alignment horizontal="left" vertical="center"/>
    </xf>
    <xf numFmtId="0" fontId="0" fillId="0" borderId="1" xfId="0" quotePrefix="1" applyBorder="1" applyAlignment="1"/>
    <xf numFmtId="0" fontId="0" fillId="0" borderId="1" xfId="0" applyBorder="1" applyAlignment="1"/>
    <xf numFmtId="0" fontId="29" fillId="0" borderId="1" xfId="0" quotePrefix="1" applyFont="1" applyBorder="1" applyAlignment="1"/>
  </cellXfs>
  <cellStyles count="10">
    <cellStyle name="Comma" xfId="2" builtinId="3"/>
    <cellStyle name="Comma [0]" xfId="9" builtinId="6"/>
    <cellStyle name="Comma 6" xfId="6" xr:uid="{00000000-0005-0000-0000-000001000000}"/>
    <cellStyle name="Comma 7" xfId="7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8" xr:uid="{00000000-0005-0000-0000-000006000000}"/>
    <cellStyle name="Normal 3 2" xfId="4" xr:uid="{00000000-0005-0000-0000-000007000000}"/>
    <cellStyle name="Normal 7" xfId="5" xr:uid="{00000000-0005-0000-0000-000008000000}"/>
  </cellStyles>
  <dxfs count="3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152F084E-9880-4B17-9C59-1AEB07896D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8D2B18E6-F3C4-4360-BBEF-37F07BB16D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A8657530-1B56-42C3-A808-CD76B3D4A0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68D34922-BFF0-4AA7-8D58-302730ACEF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90ABBCD7-711B-4271-A4EC-8BBB40E43B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87476B5A-0D15-473A-9A50-EF06C7449E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76B969CC-563F-4C88-A59C-7AFD93978F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A981EDDC-93B4-4565-8066-754D1A007B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62774</xdr:colOff>
      <xdr:row>0</xdr:row>
      <xdr:rowOff>95251</xdr:rowOff>
    </xdr:from>
    <xdr:ext cx="3077074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958A94BC-31D8-41A2-B86B-BC32EF16EB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74" y="95251"/>
          <a:ext cx="3077074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83F1-F9D0-47EF-9339-848C5AB2F5B8}">
  <dimension ref="A1:BU33"/>
  <sheetViews>
    <sheetView topLeftCell="A8" zoomScale="115" zoomScaleNormal="115" workbookViewId="0">
      <pane xSplit="11" ySplit="7" topLeftCell="L15" activePane="bottomRight" state="frozen"/>
      <selection activeCell="A8" sqref="A8"/>
      <selection pane="topRight" activeCell="L8" sqref="L8"/>
      <selection pane="bottomLeft" activeCell="A15" sqref="A15"/>
      <selection pane="bottomRight" activeCell="U17" sqref="U17"/>
    </sheetView>
  </sheetViews>
  <sheetFormatPr defaultColWidth="14.33203125" defaultRowHeight="15"/>
  <cols>
    <col min="1" max="1" width="12.44140625" style="42" customWidth="1"/>
    <col min="2" max="2" width="18.33203125" style="8" customWidth="1"/>
    <col min="3" max="3" width="29.109375" style="1" customWidth="1"/>
    <col min="4" max="4" width="20" style="1" customWidth="1"/>
    <col min="5" max="5" width="12.21875" style="59" customWidth="1"/>
    <col min="6" max="11" width="6.44140625" style="1" hidden="1" customWidth="1"/>
    <col min="12" max="32" width="6.44140625" style="1" customWidth="1"/>
    <col min="33" max="33" width="10" style="1" customWidth="1"/>
    <col min="34" max="65" width="6.44140625" style="1" customWidth="1"/>
    <col min="66" max="67" width="8.44140625" style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41"/>
      <c r="E1" s="51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51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51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5"/>
    </row>
    <row r="5" spans="1:73" ht="29.4">
      <c r="A5" s="89" t="s">
        <v>43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</row>
    <row r="6" spans="1:73">
      <c r="A6" s="43"/>
      <c r="B6" s="3"/>
      <c r="C6" s="3"/>
      <c r="D6" s="3"/>
      <c r="E6" s="5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44"/>
      <c r="B7" s="6"/>
      <c r="C7" s="5"/>
      <c r="D7" s="5"/>
      <c r="E7" s="5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3" t="s">
        <v>0</v>
      </c>
      <c r="B8" s="83" t="s">
        <v>5</v>
      </c>
      <c r="C8" s="63" t="s">
        <v>6</v>
      </c>
      <c r="D8" s="63" t="s">
        <v>45</v>
      </c>
      <c r="E8" s="86" t="s">
        <v>47</v>
      </c>
      <c r="F8" s="66">
        <v>1</v>
      </c>
      <c r="G8" s="67"/>
      <c r="H8" s="66">
        <v>2</v>
      </c>
      <c r="I8" s="67"/>
      <c r="J8" s="66">
        <v>3</v>
      </c>
      <c r="K8" s="67"/>
      <c r="L8" s="66">
        <v>1</v>
      </c>
      <c r="M8" s="67"/>
      <c r="N8" s="66">
        <v>2</v>
      </c>
      <c r="O8" s="67"/>
      <c r="P8" s="66">
        <v>3</v>
      </c>
      <c r="Q8" s="67"/>
      <c r="R8" s="66">
        <v>4</v>
      </c>
      <c r="S8" s="67"/>
      <c r="T8" s="66">
        <v>5</v>
      </c>
      <c r="U8" s="67"/>
      <c r="V8" s="66">
        <v>6</v>
      </c>
      <c r="W8" s="67"/>
      <c r="X8" s="66">
        <v>7</v>
      </c>
      <c r="Y8" s="67"/>
      <c r="Z8" s="66">
        <v>8</v>
      </c>
      <c r="AA8" s="67"/>
      <c r="AB8" s="66">
        <v>9</v>
      </c>
      <c r="AC8" s="67"/>
      <c r="AD8" s="66">
        <v>10</v>
      </c>
      <c r="AE8" s="67"/>
      <c r="AF8" s="66">
        <v>11</v>
      </c>
      <c r="AG8" s="67"/>
      <c r="AH8" s="66">
        <v>12</v>
      </c>
      <c r="AI8" s="67"/>
      <c r="AJ8" s="66">
        <v>13</v>
      </c>
      <c r="AK8" s="67"/>
      <c r="AL8" s="66">
        <v>14</v>
      </c>
      <c r="AM8" s="67"/>
      <c r="AN8" s="66">
        <v>15</v>
      </c>
      <c r="AO8" s="67"/>
      <c r="AP8" s="66">
        <v>16</v>
      </c>
      <c r="AQ8" s="67"/>
      <c r="AR8" s="66">
        <v>17</v>
      </c>
      <c r="AS8" s="67"/>
      <c r="AT8" s="66">
        <v>18</v>
      </c>
      <c r="AU8" s="67"/>
      <c r="AV8" s="66">
        <v>19</v>
      </c>
      <c r="AW8" s="67"/>
      <c r="AX8" s="66">
        <v>20</v>
      </c>
      <c r="AY8" s="67"/>
      <c r="AZ8" s="66">
        <v>21</v>
      </c>
      <c r="BA8" s="67"/>
      <c r="BB8" s="66">
        <v>22</v>
      </c>
      <c r="BC8" s="67"/>
      <c r="BD8" s="66">
        <v>23</v>
      </c>
      <c r="BE8" s="67"/>
      <c r="BF8" s="66">
        <v>24</v>
      </c>
      <c r="BG8" s="67"/>
      <c r="BH8" s="66">
        <v>25</v>
      </c>
      <c r="BI8" s="67"/>
      <c r="BJ8" s="66">
        <v>26</v>
      </c>
      <c r="BK8" s="67"/>
      <c r="BL8" s="66">
        <v>27</v>
      </c>
      <c r="BM8" s="67"/>
      <c r="BN8" s="66">
        <v>28</v>
      </c>
      <c r="BO8" s="67"/>
      <c r="BP8" s="76" t="s">
        <v>7</v>
      </c>
      <c r="BQ8" s="77"/>
      <c r="BR8" s="77"/>
      <c r="BS8" s="78"/>
      <c r="BT8" s="73" t="s">
        <v>23</v>
      </c>
      <c r="BU8" s="90" t="s">
        <v>17</v>
      </c>
    </row>
    <row r="9" spans="1:73" s="11" customFormat="1" ht="26.55" customHeight="1">
      <c r="A9" s="84"/>
      <c r="B9" s="84"/>
      <c r="C9" s="64"/>
      <c r="D9" s="64"/>
      <c r="E9" s="87"/>
      <c r="F9" s="68" t="s">
        <v>10</v>
      </c>
      <c r="G9" s="69"/>
      <c r="H9" s="68" t="s">
        <v>11</v>
      </c>
      <c r="I9" s="69"/>
      <c r="J9" s="68" t="s">
        <v>12</v>
      </c>
      <c r="K9" s="69"/>
      <c r="L9" s="68" t="s">
        <v>13</v>
      </c>
      <c r="M9" s="69"/>
      <c r="N9" s="68" t="s">
        <v>14</v>
      </c>
      <c r="O9" s="69"/>
      <c r="P9" s="68" t="s">
        <v>8</v>
      </c>
      <c r="Q9" s="69"/>
      <c r="R9" s="68" t="s">
        <v>9</v>
      </c>
      <c r="S9" s="69"/>
      <c r="T9" s="68" t="s">
        <v>10</v>
      </c>
      <c r="U9" s="69"/>
      <c r="V9" s="68" t="s">
        <v>11</v>
      </c>
      <c r="W9" s="69"/>
      <c r="X9" s="68" t="s">
        <v>12</v>
      </c>
      <c r="Y9" s="69"/>
      <c r="Z9" s="68" t="s">
        <v>13</v>
      </c>
      <c r="AA9" s="69"/>
      <c r="AB9" s="68" t="s">
        <v>14</v>
      </c>
      <c r="AC9" s="69"/>
      <c r="AD9" s="68" t="s">
        <v>8</v>
      </c>
      <c r="AE9" s="69"/>
      <c r="AF9" s="68" t="s">
        <v>9</v>
      </c>
      <c r="AG9" s="69"/>
      <c r="AH9" s="68" t="s">
        <v>10</v>
      </c>
      <c r="AI9" s="69"/>
      <c r="AJ9" s="68" t="s">
        <v>11</v>
      </c>
      <c r="AK9" s="69"/>
      <c r="AL9" s="68" t="s">
        <v>12</v>
      </c>
      <c r="AM9" s="69"/>
      <c r="AN9" s="68" t="s">
        <v>13</v>
      </c>
      <c r="AO9" s="69"/>
      <c r="AP9" s="68" t="s">
        <v>14</v>
      </c>
      <c r="AQ9" s="69"/>
      <c r="AR9" s="68" t="s">
        <v>8</v>
      </c>
      <c r="AS9" s="69"/>
      <c r="AT9" s="68" t="s">
        <v>9</v>
      </c>
      <c r="AU9" s="69"/>
      <c r="AV9" s="68" t="s">
        <v>10</v>
      </c>
      <c r="AW9" s="69"/>
      <c r="AX9" s="68" t="s">
        <v>11</v>
      </c>
      <c r="AY9" s="69"/>
      <c r="AZ9" s="68" t="s">
        <v>12</v>
      </c>
      <c r="BA9" s="69"/>
      <c r="BB9" s="68" t="s">
        <v>13</v>
      </c>
      <c r="BC9" s="69"/>
      <c r="BD9" s="68" t="s">
        <v>14</v>
      </c>
      <c r="BE9" s="69"/>
      <c r="BF9" s="68" t="s">
        <v>8</v>
      </c>
      <c r="BG9" s="69"/>
      <c r="BH9" s="68" t="s">
        <v>9</v>
      </c>
      <c r="BI9" s="69"/>
      <c r="BJ9" s="68" t="s">
        <v>10</v>
      </c>
      <c r="BK9" s="69"/>
      <c r="BL9" s="68" t="s">
        <v>11</v>
      </c>
      <c r="BM9" s="69"/>
      <c r="BN9" s="68" t="s">
        <v>12</v>
      </c>
      <c r="BO9" s="69"/>
      <c r="BP9" s="79"/>
      <c r="BQ9" s="80"/>
      <c r="BR9" s="80"/>
      <c r="BS9" s="81"/>
      <c r="BT9" s="74"/>
      <c r="BU9" s="91"/>
    </row>
    <row r="10" spans="1:73" s="11" customFormat="1" ht="42" customHeight="1">
      <c r="A10" s="85"/>
      <c r="B10" s="85"/>
      <c r="C10" s="65"/>
      <c r="D10" s="65"/>
      <c r="E10" s="88"/>
      <c r="F10" s="13" t="s">
        <v>18</v>
      </c>
      <c r="G10" s="13" t="s">
        <v>19</v>
      </c>
      <c r="H10" s="13" t="s">
        <v>18</v>
      </c>
      <c r="I10" s="13" t="s">
        <v>19</v>
      </c>
      <c r="J10" s="13" t="s">
        <v>18</v>
      </c>
      <c r="K10" s="13" t="s">
        <v>19</v>
      </c>
      <c r="L10" s="13" t="s">
        <v>18</v>
      </c>
      <c r="M10" s="13" t="s">
        <v>19</v>
      </c>
      <c r="N10" s="47" t="s">
        <v>20</v>
      </c>
      <c r="O10" s="47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47" t="s">
        <v>20</v>
      </c>
      <c r="AC10" s="47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47" t="s">
        <v>20</v>
      </c>
      <c r="AQ10" s="47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47" t="s">
        <v>20</v>
      </c>
      <c r="BE10" s="47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75"/>
      <c r="BU10" s="92"/>
    </row>
    <row r="11" spans="1:73" s="18" customFormat="1" ht="29.55" customHeight="1">
      <c r="A11" s="45" t="s">
        <v>26</v>
      </c>
      <c r="B11" s="99" t="s">
        <v>56</v>
      </c>
      <c r="C11" s="16" t="s">
        <v>48</v>
      </c>
      <c r="D11" s="40" t="s">
        <v>49</v>
      </c>
      <c r="E11" s="54">
        <v>520000</v>
      </c>
      <c r="F11" s="29"/>
      <c r="G11" s="29"/>
      <c r="H11" s="29"/>
      <c r="I11" s="29"/>
      <c r="J11" s="29"/>
      <c r="K11" s="29"/>
      <c r="L11" s="29">
        <v>8</v>
      </c>
      <c r="M11" s="29"/>
      <c r="N11" s="49"/>
      <c r="O11" s="49"/>
      <c r="P11" s="29">
        <v>4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49"/>
      <c r="AC11" s="4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49"/>
      <c r="AQ11" s="4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49"/>
      <c r="BE11" s="49"/>
      <c r="BF11" s="29"/>
      <c r="BG11" s="29"/>
      <c r="BH11" s="29"/>
      <c r="BI11" s="29"/>
      <c r="BJ11" s="29"/>
      <c r="BK11" s="29"/>
      <c r="BL11" s="29">
        <v>8</v>
      </c>
      <c r="BM11" s="29"/>
      <c r="BN11" s="29">
        <v>8</v>
      </c>
      <c r="BO11" s="29"/>
      <c r="BP11" s="27">
        <f>SUMIF($F$10:$BO$10,"HC",F11:BO11)</f>
        <v>28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/>
    </row>
    <row r="12" spans="1:73" s="18" customFormat="1" ht="29.55" customHeight="1">
      <c r="A12" s="45" t="s">
        <v>27</v>
      </c>
      <c r="B12" s="98" t="s">
        <v>77</v>
      </c>
      <c r="C12" s="16" t="s">
        <v>50</v>
      </c>
      <c r="D12" s="40" t="s">
        <v>49</v>
      </c>
      <c r="E12" s="54">
        <v>520000</v>
      </c>
      <c r="F12" s="29"/>
      <c r="G12" s="29"/>
      <c r="H12" s="29"/>
      <c r="I12" s="29"/>
      <c r="J12" s="29"/>
      <c r="K12" s="29"/>
      <c r="L12" s="29">
        <v>8</v>
      </c>
      <c r="M12" s="29"/>
      <c r="N12" s="49"/>
      <c r="O12" s="4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49"/>
      <c r="AC12" s="4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49"/>
      <c r="AQ12" s="4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49"/>
      <c r="BE12" s="4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8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/>
    </row>
    <row r="13" spans="1:73" s="18" customFormat="1" ht="29.55" customHeight="1">
      <c r="A13" s="45" t="s">
        <v>28</v>
      </c>
      <c r="B13" s="98"/>
      <c r="C13" s="16" t="s">
        <v>55</v>
      </c>
      <c r="D13" s="40" t="s">
        <v>49</v>
      </c>
      <c r="E13" s="54">
        <v>520000</v>
      </c>
      <c r="F13" s="29"/>
      <c r="G13" s="29"/>
      <c r="H13" s="29"/>
      <c r="I13" s="29"/>
      <c r="J13" s="29"/>
      <c r="K13" s="29"/>
      <c r="L13" s="29">
        <v>8</v>
      </c>
      <c r="M13" s="29"/>
      <c r="N13" s="49"/>
      <c r="O13" s="4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49"/>
      <c r="AC13" s="4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49"/>
      <c r="AQ13" s="4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49"/>
      <c r="BE13" s="4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8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/>
    </row>
    <row r="14" spans="1:73" s="18" customFormat="1" ht="29.55" customHeight="1">
      <c r="A14" s="45" t="s">
        <v>29</v>
      </c>
      <c r="B14" s="100" t="s">
        <v>75</v>
      </c>
      <c r="C14" s="16" t="s">
        <v>62</v>
      </c>
      <c r="D14" s="40" t="s">
        <v>49</v>
      </c>
      <c r="E14" s="54">
        <v>520000</v>
      </c>
      <c r="F14" s="29"/>
      <c r="G14" s="29"/>
      <c r="H14" s="29"/>
      <c r="I14" s="29"/>
      <c r="J14" s="29"/>
      <c r="K14" s="29"/>
      <c r="L14" s="29">
        <v>4</v>
      </c>
      <c r="M14" s="29"/>
      <c r="N14" s="49"/>
      <c r="O14" s="49"/>
      <c r="P14" s="29">
        <v>8</v>
      </c>
      <c r="Q14" s="29"/>
      <c r="R14" s="29">
        <v>8</v>
      </c>
      <c r="S14" s="29"/>
      <c r="T14" s="29">
        <v>4</v>
      </c>
      <c r="U14" s="29"/>
      <c r="V14" s="29">
        <v>8</v>
      </c>
      <c r="W14" s="29"/>
      <c r="X14" s="29">
        <v>4</v>
      </c>
      <c r="Y14" s="29"/>
      <c r="Z14" s="29"/>
      <c r="AA14" s="29"/>
      <c r="AB14" s="49"/>
      <c r="AC14" s="4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49"/>
      <c r="AQ14" s="4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49"/>
      <c r="BE14" s="4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36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 t="s">
        <v>65</v>
      </c>
    </row>
    <row r="15" spans="1:73" s="18" customFormat="1" ht="29.55" customHeight="1">
      <c r="A15" s="45" t="s">
        <v>30</v>
      </c>
      <c r="B15" s="100" t="s">
        <v>76</v>
      </c>
      <c r="C15" s="16" t="s">
        <v>74</v>
      </c>
      <c r="D15" s="40" t="s">
        <v>49</v>
      </c>
      <c r="E15" s="54">
        <v>520000</v>
      </c>
      <c r="F15" s="29"/>
      <c r="G15" s="29"/>
      <c r="H15" s="29"/>
      <c r="I15" s="29"/>
      <c r="J15" s="29"/>
      <c r="K15" s="29"/>
      <c r="L15" s="29"/>
      <c r="M15" s="29"/>
      <c r="N15" s="49"/>
      <c r="O15" s="49"/>
      <c r="P15" s="29"/>
      <c r="Q15" s="29"/>
      <c r="R15" s="29"/>
      <c r="S15" s="29"/>
      <c r="T15" s="29">
        <v>8</v>
      </c>
      <c r="U15" s="29"/>
      <c r="V15" s="29">
        <v>8</v>
      </c>
      <c r="W15" s="29"/>
      <c r="X15" s="29">
        <v>8</v>
      </c>
      <c r="Y15" s="29"/>
      <c r="Z15" s="29"/>
      <c r="AA15" s="29"/>
      <c r="AB15" s="49"/>
      <c r="AC15" s="4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49"/>
      <c r="AQ15" s="4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49"/>
      <c r="BE15" s="4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24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/>
    </row>
    <row r="16" spans="1:73" s="18" customFormat="1" ht="29.55" customHeight="1">
      <c r="A16" s="45" t="s">
        <v>31</v>
      </c>
      <c r="B16" s="15" t="s">
        <v>98</v>
      </c>
      <c r="C16" s="16" t="s">
        <v>97</v>
      </c>
      <c r="D16" s="40" t="s">
        <v>49</v>
      </c>
      <c r="E16" s="54">
        <v>520000</v>
      </c>
      <c r="F16" s="29"/>
      <c r="G16" s="29"/>
      <c r="H16" s="29"/>
      <c r="I16" s="29"/>
      <c r="J16" s="29"/>
      <c r="K16" s="29"/>
      <c r="L16" s="29"/>
      <c r="M16" s="29"/>
      <c r="N16" s="49"/>
      <c r="O16" s="49"/>
      <c r="P16" s="29">
        <v>8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49"/>
      <c r="AC16" s="4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49"/>
      <c r="AQ16" s="4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49"/>
      <c r="BE16" s="4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8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/>
    </row>
    <row r="17" spans="1:73" s="18" customFormat="1" ht="29.55" customHeight="1">
      <c r="A17" s="45" t="s">
        <v>32</v>
      </c>
      <c r="B17" s="15" t="s">
        <v>100</v>
      </c>
      <c r="C17" s="16" t="s">
        <v>99</v>
      </c>
      <c r="D17" s="40" t="s">
        <v>49</v>
      </c>
      <c r="E17" s="54">
        <v>520000</v>
      </c>
      <c r="F17" s="29"/>
      <c r="G17" s="29"/>
      <c r="H17" s="29"/>
      <c r="I17" s="29"/>
      <c r="J17" s="29"/>
      <c r="K17" s="29"/>
      <c r="L17" s="29"/>
      <c r="M17" s="29"/>
      <c r="N17" s="49"/>
      <c r="O17" s="49"/>
      <c r="P17" s="29"/>
      <c r="Q17" s="29"/>
      <c r="R17" s="29"/>
      <c r="S17" s="29"/>
      <c r="T17" s="29"/>
      <c r="U17" s="29"/>
      <c r="V17" s="29">
        <v>8</v>
      </c>
      <c r="W17" s="29"/>
      <c r="X17" s="29"/>
      <c r="Y17" s="29"/>
      <c r="Z17" s="29"/>
      <c r="AA17" s="29"/>
      <c r="AB17" s="49"/>
      <c r="AC17" s="4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9"/>
      <c r="AQ17" s="4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9"/>
      <c r="BE17" s="4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8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/>
    </row>
    <row r="18" spans="1:73" s="18" customFormat="1" ht="29.4" customHeight="1">
      <c r="A18" s="45" t="s">
        <v>35</v>
      </c>
      <c r="B18" s="15"/>
      <c r="C18" s="16"/>
      <c r="D18" s="50"/>
      <c r="E18" s="54"/>
      <c r="F18" s="29"/>
      <c r="G18" s="29"/>
      <c r="H18" s="29"/>
      <c r="I18" s="29"/>
      <c r="J18" s="29"/>
      <c r="K18" s="29"/>
      <c r="L18" s="29"/>
      <c r="M18" s="29"/>
      <c r="N18" s="49"/>
      <c r="O18" s="4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9"/>
      <c r="AC18" s="4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9"/>
      <c r="AQ18" s="4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9"/>
      <c r="BE18" s="4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45" t="s">
        <v>36</v>
      </c>
      <c r="B19" s="15"/>
      <c r="C19" s="16"/>
      <c r="D19" s="50"/>
      <c r="E19" s="54"/>
      <c r="F19" s="29"/>
      <c r="G19" s="29"/>
      <c r="H19" s="29"/>
      <c r="I19" s="29"/>
      <c r="J19" s="29"/>
      <c r="K19" s="29"/>
      <c r="L19" s="29"/>
      <c r="M19" s="29"/>
      <c r="N19" s="49"/>
      <c r="O19" s="4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9"/>
      <c r="AC19" s="4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9"/>
      <c r="AQ19" s="4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9"/>
      <c r="BE19" s="4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45" t="s">
        <v>37</v>
      </c>
      <c r="B20" s="15"/>
      <c r="C20" s="16"/>
      <c r="D20" s="50"/>
      <c r="E20" s="54"/>
      <c r="F20" s="29"/>
      <c r="G20" s="29"/>
      <c r="H20" s="29"/>
      <c r="I20" s="29"/>
      <c r="J20" s="29"/>
      <c r="K20" s="29"/>
      <c r="L20" s="29"/>
      <c r="M20" s="29"/>
      <c r="N20" s="49"/>
      <c r="O20" s="4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9"/>
      <c r="AC20" s="4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9"/>
      <c r="AQ20" s="4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9"/>
      <c r="BE20" s="4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45" t="s">
        <v>38</v>
      </c>
      <c r="B21" s="15"/>
      <c r="C21" s="16"/>
      <c r="D21" s="50"/>
      <c r="E21" s="54"/>
      <c r="F21" s="29"/>
      <c r="G21" s="29"/>
      <c r="H21" s="29"/>
      <c r="I21" s="29"/>
      <c r="J21" s="29"/>
      <c r="K21" s="29"/>
      <c r="L21" s="29"/>
      <c r="M21" s="29"/>
      <c r="N21" s="49"/>
      <c r="O21" s="4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9"/>
      <c r="AC21" s="4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9"/>
      <c r="AQ21" s="4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9"/>
      <c r="BE21" s="4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45" t="s">
        <v>39</v>
      </c>
      <c r="B22" s="15"/>
      <c r="C22" s="16"/>
      <c r="D22" s="50"/>
      <c r="E22" s="54"/>
      <c r="F22" s="29"/>
      <c r="G22" s="29"/>
      <c r="H22" s="29"/>
      <c r="I22" s="29"/>
      <c r="J22" s="29"/>
      <c r="K22" s="29"/>
      <c r="L22" s="29"/>
      <c r="M22" s="29"/>
      <c r="N22" s="49"/>
      <c r="O22" s="4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9"/>
      <c r="AC22" s="4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9"/>
      <c r="AQ22" s="4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9"/>
      <c r="BE22" s="4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45" t="s">
        <v>40</v>
      </c>
      <c r="B23" s="15"/>
      <c r="C23" s="16"/>
      <c r="D23" s="50"/>
      <c r="E23" s="54"/>
      <c r="F23" s="29"/>
      <c r="G23" s="29"/>
      <c r="H23" s="29"/>
      <c r="I23" s="29"/>
      <c r="J23" s="29"/>
      <c r="K23" s="29"/>
      <c r="L23" s="29"/>
      <c r="M23" s="29"/>
      <c r="N23" s="49"/>
      <c r="O23" s="4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49"/>
      <c r="AC23" s="4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49"/>
      <c r="AQ23" s="4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49"/>
      <c r="BE23" s="4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45" t="s">
        <v>41</v>
      </c>
      <c r="B24" s="15"/>
      <c r="C24" s="16"/>
      <c r="D24" s="50"/>
      <c r="E24" s="54"/>
      <c r="F24" s="29"/>
      <c r="G24" s="29"/>
      <c r="H24" s="29"/>
      <c r="I24" s="29"/>
      <c r="J24" s="29"/>
      <c r="K24" s="29"/>
      <c r="L24" s="29"/>
      <c r="M24" s="29"/>
      <c r="N24" s="49"/>
      <c r="O24" s="4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49"/>
      <c r="AC24" s="4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49"/>
      <c r="AQ24" s="4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49"/>
      <c r="BE24" s="4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8"/>
      <c r="B25" s="38"/>
      <c r="C25" s="39"/>
      <c r="D25" s="39"/>
      <c r="E25" s="54"/>
      <c r="F25" s="29"/>
      <c r="G25" s="29"/>
      <c r="H25" s="29"/>
      <c r="I25" s="29"/>
      <c r="J25" s="29"/>
      <c r="K25" s="29"/>
      <c r="L25" s="29"/>
      <c r="M25" s="29"/>
      <c r="N25" s="49"/>
      <c r="O25" s="4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49"/>
      <c r="AC25" s="4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49"/>
      <c r="AQ25" s="4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49"/>
      <c r="BE25" s="4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70" t="s">
        <v>4</v>
      </c>
      <c r="B26" s="71"/>
      <c r="C26" s="71"/>
      <c r="D26" s="71"/>
      <c r="E26" s="7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120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46"/>
      <c r="B27" s="22"/>
      <c r="C27" s="22"/>
      <c r="D27" s="22"/>
      <c r="E27" s="55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52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56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57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57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57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8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73"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  <mergeCell ref="L8:M8"/>
    <mergeCell ref="N8:O8"/>
    <mergeCell ref="P8:Q8"/>
    <mergeCell ref="R8:S8"/>
    <mergeCell ref="T8:U8"/>
    <mergeCell ref="AT8:AU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BD9:BE9"/>
    <mergeCell ref="BF9:BG9"/>
    <mergeCell ref="BB9:BC9"/>
    <mergeCell ref="BU8:BU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H8:BI8"/>
    <mergeCell ref="BJ8:BK8"/>
    <mergeCell ref="BL8:BM8"/>
    <mergeCell ref="BN8:BO8"/>
    <mergeCell ref="BP8:BS9"/>
    <mergeCell ref="BT8:BT10"/>
    <mergeCell ref="AT9:AU9"/>
    <mergeCell ref="A26:E26"/>
    <mergeCell ref="AV9:AW9"/>
    <mergeCell ref="AX9:AY9"/>
    <mergeCell ref="AZ9:BA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</mergeCells>
  <conditionalFormatting sqref="B1:B10 B12:B13 B16:B1048576">
    <cfRule type="duplicateValues" dxfId="15" priority="3"/>
  </conditionalFormatting>
  <conditionalFormatting sqref="F8:F9 H8:H9 J8:J9 L8:L9 N8:N9 P8:P9 R8:R9 T8:T9 V8:V9 X8:X9 Z8:Z9 AB8:AB9 AD8:AD9 AF8:AF9 AH8:AH9 AJ8:AJ9 AL8:AL9 AN8:AN9 AP8:AP9 AR8:AR9 AT8:AT9 AV8:AV9 AX8:AX9 AZ8:AZ9 BB8:BB9 BD8:BD9 BF8:BF9 BH8:BH9 BJ8:BJ9 BL8:BL9 BN8:BN9">
    <cfRule type="expression" dxfId="13" priority="6">
      <formula>IF(OR(H$10="CN",H$10="OT CN"),1,0)</formula>
    </cfRule>
  </conditionalFormatting>
  <conditionalFormatting sqref="F11:BO27">
    <cfRule type="expression" dxfId="12" priority="4">
      <formula>IF(OR(F$10="CN",F$10="OT CN"),1,0)</formula>
    </cfRule>
  </conditionalFormatting>
  <conditionalFormatting sqref="B11">
    <cfRule type="duplicateValues" dxfId="4" priority="1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2F7A2E42-765A-4690-BA82-B25E097259E2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B12:C13 B18:D25 C11 C15 B16:C17</xm:sqref>
        </x14:conditionalFormatting>
        <x14:conditionalFormatting xmlns:xm="http://schemas.microsoft.com/office/excel/2006/main">
          <x14:cfRule type="containsText" priority="2" operator="containsText" id="{89720F33-91E5-43F3-943C-141B950B6ACC}">
            <xm:f>NOT(ISERROR(SEARCH(#REF!,C14)))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0C12-63D2-4142-8A76-FD9BCA85E542}">
  <dimension ref="A1:BU33"/>
  <sheetViews>
    <sheetView workbookViewId="0">
      <selection activeCell="C14" sqref="C14"/>
    </sheetView>
  </sheetViews>
  <sheetFormatPr defaultColWidth="14.33203125" defaultRowHeight="15"/>
  <cols>
    <col min="1" max="1" width="12.44140625" style="42" customWidth="1"/>
    <col min="2" max="2" width="18.33203125" style="8" customWidth="1"/>
    <col min="3" max="3" width="29.109375" style="1" customWidth="1"/>
    <col min="4" max="4" width="23.44140625" style="1" customWidth="1"/>
    <col min="5" max="5" width="12.21875" style="59" customWidth="1"/>
    <col min="6" max="11" width="6.44140625" style="1" hidden="1" customWidth="1"/>
    <col min="12" max="32" width="6.44140625" style="1" customWidth="1"/>
    <col min="33" max="33" width="10" style="1" customWidth="1"/>
    <col min="34" max="65" width="6.44140625" style="1" customWidth="1"/>
    <col min="66" max="67" width="8.44140625" style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41"/>
      <c r="E1" s="51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51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51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5"/>
    </row>
    <row r="5" spans="1:73" ht="29.4">
      <c r="A5" s="89" t="s">
        <v>43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</row>
    <row r="6" spans="1:73">
      <c r="A6" s="43"/>
      <c r="B6" s="3"/>
      <c r="C6" s="3"/>
      <c r="D6" s="3"/>
      <c r="E6" s="5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44"/>
      <c r="B7" s="6"/>
      <c r="C7" s="5"/>
      <c r="D7" s="5"/>
      <c r="E7" s="5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3" t="s">
        <v>0</v>
      </c>
      <c r="B8" s="83" t="s">
        <v>5</v>
      </c>
      <c r="C8" s="63" t="s">
        <v>6</v>
      </c>
      <c r="D8" s="63" t="s">
        <v>45</v>
      </c>
      <c r="E8" s="86" t="s">
        <v>47</v>
      </c>
      <c r="F8" s="66"/>
      <c r="G8" s="67"/>
      <c r="H8" s="66"/>
      <c r="I8" s="67"/>
      <c r="J8" s="66"/>
      <c r="K8" s="67"/>
      <c r="L8" s="66">
        <v>1</v>
      </c>
      <c r="M8" s="67"/>
      <c r="N8" s="66">
        <v>2</v>
      </c>
      <c r="O8" s="67"/>
      <c r="P8" s="66">
        <v>3</v>
      </c>
      <c r="Q8" s="67"/>
      <c r="R8" s="66">
        <v>4</v>
      </c>
      <c r="S8" s="67"/>
      <c r="T8" s="66">
        <v>5</v>
      </c>
      <c r="U8" s="67"/>
      <c r="V8" s="66">
        <v>6</v>
      </c>
      <c r="W8" s="67"/>
      <c r="X8" s="66">
        <v>7</v>
      </c>
      <c r="Y8" s="67"/>
      <c r="Z8" s="66">
        <v>8</v>
      </c>
      <c r="AA8" s="67"/>
      <c r="AB8" s="66">
        <v>9</v>
      </c>
      <c r="AC8" s="67"/>
      <c r="AD8" s="66">
        <v>10</v>
      </c>
      <c r="AE8" s="67"/>
      <c r="AF8" s="66">
        <v>11</v>
      </c>
      <c r="AG8" s="67"/>
      <c r="AH8" s="66">
        <v>12</v>
      </c>
      <c r="AI8" s="67"/>
      <c r="AJ8" s="66">
        <v>13</v>
      </c>
      <c r="AK8" s="67"/>
      <c r="AL8" s="66">
        <v>14</v>
      </c>
      <c r="AM8" s="67"/>
      <c r="AN8" s="66">
        <v>15</v>
      </c>
      <c r="AO8" s="67"/>
      <c r="AP8" s="66">
        <v>16</v>
      </c>
      <c r="AQ8" s="67"/>
      <c r="AR8" s="66">
        <v>17</v>
      </c>
      <c r="AS8" s="67"/>
      <c r="AT8" s="66">
        <v>18</v>
      </c>
      <c r="AU8" s="67"/>
      <c r="AV8" s="66">
        <v>19</v>
      </c>
      <c r="AW8" s="67"/>
      <c r="AX8" s="66">
        <v>20</v>
      </c>
      <c r="AY8" s="67"/>
      <c r="AZ8" s="66">
        <v>21</v>
      </c>
      <c r="BA8" s="67"/>
      <c r="BB8" s="66">
        <v>22</v>
      </c>
      <c r="BC8" s="67"/>
      <c r="BD8" s="66">
        <v>23</v>
      </c>
      <c r="BE8" s="67"/>
      <c r="BF8" s="66">
        <v>24</v>
      </c>
      <c r="BG8" s="67"/>
      <c r="BH8" s="66">
        <v>25</v>
      </c>
      <c r="BI8" s="67"/>
      <c r="BJ8" s="66">
        <v>26</v>
      </c>
      <c r="BK8" s="67"/>
      <c r="BL8" s="66">
        <v>27</v>
      </c>
      <c r="BM8" s="67"/>
      <c r="BN8" s="66">
        <v>28</v>
      </c>
      <c r="BO8" s="67"/>
      <c r="BP8" s="76" t="s">
        <v>7</v>
      </c>
      <c r="BQ8" s="77"/>
      <c r="BR8" s="77"/>
      <c r="BS8" s="78"/>
      <c r="BT8" s="73" t="s">
        <v>23</v>
      </c>
      <c r="BU8" s="90" t="s">
        <v>17</v>
      </c>
    </row>
    <row r="9" spans="1:73" s="11" customFormat="1" ht="26.55" customHeight="1">
      <c r="A9" s="84"/>
      <c r="B9" s="84"/>
      <c r="C9" s="64"/>
      <c r="D9" s="64"/>
      <c r="E9" s="87"/>
      <c r="F9" s="68"/>
      <c r="G9" s="69"/>
      <c r="H9" s="68"/>
      <c r="I9" s="69"/>
      <c r="J9" s="68"/>
      <c r="K9" s="69"/>
      <c r="L9" s="68" t="s">
        <v>13</v>
      </c>
      <c r="M9" s="69"/>
      <c r="N9" s="68" t="s">
        <v>14</v>
      </c>
      <c r="O9" s="69"/>
      <c r="P9" s="68" t="s">
        <v>8</v>
      </c>
      <c r="Q9" s="69"/>
      <c r="R9" s="68" t="s">
        <v>9</v>
      </c>
      <c r="S9" s="69"/>
      <c r="T9" s="68" t="s">
        <v>10</v>
      </c>
      <c r="U9" s="69"/>
      <c r="V9" s="68" t="s">
        <v>11</v>
      </c>
      <c r="W9" s="69"/>
      <c r="X9" s="68" t="s">
        <v>12</v>
      </c>
      <c r="Y9" s="69"/>
      <c r="Z9" s="68" t="s">
        <v>13</v>
      </c>
      <c r="AA9" s="69"/>
      <c r="AB9" s="68" t="s">
        <v>14</v>
      </c>
      <c r="AC9" s="69"/>
      <c r="AD9" s="68" t="s">
        <v>8</v>
      </c>
      <c r="AE9" s="69"/>
      <c r="AF9" s="68" t="s">
        <v>9</v>
      </c>
      <c r="AG9" s="69"/>
      <c r="AH9" s="68" t="s">
        <v>10</v>
      </c>
      <c r="AI9" s="69"/>
      <c r="AJ9" s="68" t="s">
        <v>11</v>
      </c>
      <c r="AK9" s="69"/>
      <c r="AL9" s="68" t="s">
        <v>12</v>
      </c>
      <c r="AM9" s="69"/>
      <c r="AN9" s="68" t="s">
        <v>13</v>
      </c>
      <c r="AO9" s="69"/>
      <c r="AP9" s="68" t="s">
        <v>14</v>
      </c>
      <c r="AQ9" s="69"/>
      <c r="AR9" s="68" t="s">
        <v>8</v>
      </c>
      <c r="AS9" s="69"/>
      <c r="AT9" s="68" t="s">
        <v>9</v>
      </c>
      <c r="AU9" s="69"/>
      <c r="AV9" s="68" t="s">
        <v>10</v>
      </c>
      <c r="AW9" s="69"/>
      <c r="AX9" s="68" t="s">
        <v>11</v>
      </c>
      <c r="AY9" s="69"/>
      <c r="AZ9" s="68" t="s">
        <v>12</v>
      </c>
      <c r="BA9" s="69"/>
      <c r="BB9" s="68" t="s">
        <v>13</v>
      </c>
      <c r="BC9" s="69"/>
      <c r="BD9" s="68" t="s">
        <v>14</v>
      </c>
      <c r="BE9" s="69"/>
      <c r="BF9" s="68" t="s">
        <v>8</v>
      </c>
      <c r="BG9" s="69"/>
      <c r="BH9" s="68" t="s">
        <v>9</v>
      </c>
      <c r="BI9" s="69"/>
      <c r="BJ9" s="68" t="s">
        <v>10</v>
      </c>
      <c r="BK9" s="69"/>
      <c r="BL9" s="68" t="s">
        <v>11</v>
      </c>
      <c r="BM9" s="69"/>
      <c r="BN9" s="68" t="s">
        <v>12</v>
      </c>
      <c r="BO9" s="69"/>
      <c r="BP9" s="79"/>
      <c r="BQ9" s="80"/>
      <c r="BR9" s="80"/>
      <c r="BS9" s="81"/>
      <c r="BT9" s="74"/>
      <c r="BU9" s="91"/>
    </row>
    <row r="10" spans="1:73" s="11" customFormat="1" ht="42" customHeight="1">
      <c r="A10" s="85"/>
      <c r="B10" s="85"/>
      <c r="C10" s="65"/>
      <c r="D10" s="65"/>
      <c r="E10" s="88"/>
      <c r="F10" s="13"/>
      <c r="G10" s="13"/>
      <c r="H10" s="13"/>
      <c r="I10" s="13"/>
      <c r="J10" s="13"/>
      <c r="K10" s="13"/>
      <c r="L10" s="13" t="s">
        <v>18</v>
      </c>
      <c r="M10" s="13" t="s">
        <v>19</v>
      </c>
      <c r="N10" s="47" t="s">
        <v>20</v>
      </c>
      <c r="O10" s="47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47" t="s">
        <v>20</v>
      </c>
      <c r="AC10" s="47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47" t="s">
        <v>20</v>
      </c>
      <c r="AQ10" s="47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47" t="s">
        <v>20</v>
      </c>
      <c r="BE10" s="47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75"/>
      <c r="BU10" s="92"/>
    </row>
    <row r="11" spans="1:73" s="18" customFormat="1" ht="29.55" customHeight="1">
      <c r="A11" s="45" t="s">
        <v>26</v>
      </c>
      <c r="B11" s="96" t="s">
        <v>82</v>
      </c>
      <c r="C11" s="16" t="s">
        <v>64</v>
      </c>
      <c r="D11" s="40" t="s">
        <v>63</v>
      </c>
      <c r="E11" s="54">
        <v>700000</v>
      </c>
      <c r="F11" s="29"/>
      <c r="G11" s="29"/>
      <c r="H11" s="29"/>
      <c r="I11" s="29"/>
      <c r="J11" s="29"/>
      <c r="K11" s="29"/>
      <c r="L11" s="29">
        <v>4</v>
      </c>
      <c r="M11" s="29"/>
      <c r="N11" s="49"/>
      <c r="O11" s="49"/>
      <c r="P11" s="29">
        <v>8</v>
      </c>
      <c r="Q11" s="29"/>
      <c r="R11" s="29"/>
      <c r="S11" s="29"/>
      <c r="T11" s="29">
        <v>8</v>
      </c>
      <c r="U11" s="29"/>
      <c r="V11" s="29"/>
      <c r="W11" s="29"/>
      <c r="X11" s="29">
        <v>8</v>
      </c>
      <c r="Y11" s="29"/>
      <c r="Z11" s="29"/>
      <c r="AA11" s="29"/>
      <c r="AB11" s="49"/>
      <c r="AC11" s="4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49"/>
      <c r="AQ11" s="4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49"/>
      <c r="BE11" s="4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7">
        <f>SUMIF($F$10:$BO$10,"HC",F11:BO11)</f>
        <v>28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/>
    </row>
    <row r="12" spans="1:73" s="18" customFormat="1" ht="29.55" customHeight="1">
      <c r="A12" s="45" t="s">
        <v>27</v>
      </c>
      <c r="B12" s="15"/>
      <c r="C12" s="16"/>
      <c r="D12" s="50"/>
      <c r="E12" s="54"/>
      <c r="F12" s="29"/>
      <c r="G12" s="29"/>
      <c r="H12" s="29"/>
      <c r="I12" s="29"/>
      <c r="J12" s="29"/>
      <c r="K12" s="29"/>
      <c r="L12" s="29"/>
      <c r="M12" s="29"/>
      <c r="N12" s="49"/>
      <c r="O12" s="4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49"/>
      <c r="AC12" s="4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49"/>
      <c r="AQ12" s="4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49"/>
      <c r="BE12" s="4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0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/>
    </row>
    <row r="13" spans="1:73" s="18" customFormat="1" ht="29.55" customHeight="1">
      <c r="A13" s="45" t="s">
        <v>28</v>
      </c>
      <c r="B13" s="15"/>
      <c r="C13" s="16"/>
      <c r="D13" s="50"/>
      <c r="E13" s="54"/>
      <c r="F13" s="29"/>
      <c r="G13" s="29"/>
      <c r="H13" s="29"/>
      <c r="I13" s="29"/>
      <c r="J13" s="29"/>
      <c r="K13" s="29"/>
      <c r="L13" s="29"/>
      <c r="M13" s="29"/>
      <c r="N13" s="49"/>
      <c r="O13" s="4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49"/>
      <c r="AC13" s="4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49"/>
      <c r="AQ13" s="4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49"/>
      <c r="BE13" s="4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0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/>
    </row>
    <row r="14" spans="1:73" s="18" customFormat="1" ht="29.55" customHeight="1">
      <c r="A14" s="45" t="s">
        <v>29</v>
      </c>
      <c r="B14" s="15"/>
      <c r="C14" s="16"/>
      <c r="D14" s="50"/>
      <c r="E14" s="54"/>
      <c r="F14" s="29"/>
      <c r="G14" s="29"/>
      <c r="H14" s="29"/>
      <c r="I14" s="29"/>
      <c r="J14" s="29"/>
      <c r="K14" s="29"/>
      <c r="L14" s="29"/>
      <c r="M14" s="29"/>
      <c r="N14" s="49"/>
      <c r="O14" s="4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49"/>
      <c r="AC14" s="4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49"/>
      <c r="AQ14" s="4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49"/>
      <c r="BE14" s="4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0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/>
    </row>
    <row r="15" spans="1:73" s="18" customFormat="1" ht="29.55" customHeight="1">
      <c r="A15" s="45" t="s">
        <v>30</v>
      </c>
      <c r="B15" s="15"/>
      <c r="C15" s="16"/>
      <c r="D15" s="50"/>
      <c r="E15" s="54"/>
      <c r="F15" s="29"/>
      <c r="G15" s="29"/>
      <c r="H15" s="29"/>
      <c r="I15" s="29"/>
      <c r="J15" s="29"/>
      <c r="K15" s="29"/>
      <c r="L15" s="29"/>
      <c r="M15" s="29"/>
      <c r="N15" s="49"/>
      <c r="O15" s="4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49"/>
      <c r="AC15" s="4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49"/>
      <c r="AQ15" s="4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49"/>
      <c r="BE15" s="4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0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/>
    </row>
    <row r="16" spans="1:73" s="18" customFormat="1" ht="29.55" customHeight="1">
      <c r="A16" s="45" t="s">
        <v>31</v>
      </c>
      <c r="B16" s="15"/>
      <c r="C16" s="16"/>
      <c r="D16" s="50"/>
      <c r="E16" s="54"/>
      <c r="F16" s="29"/>
      <c r="G16" s="29"/>
      <c r="H16" s="29"/>
      <c r="I16" s="29"/>
      <c r="J16" s="29"/>
      <c r="K16" s="29"/>
      <c r="L16" s="29"/>
      <c r="M16" s="29"/>
      <c r="N16" s="49"/>
      <c r="O16" s="4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49"/>
      <c r="AC16" s="4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49"/>
      <c r="AQ16" s="4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49"/>
      <c r="BE16" s="4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0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/>
    </row>
    <row r="17" spans="1:73" s="18" customFormat="1" ht="29.55" customHeight="1">
      <c r="A17" s="45" t="s">
        <v>32</v>
      </c>
      <c r="B17" s="15"/>
      <c r="C17" s="16"/>
      <c r="D17" s="50"/>
      <c r="E17" s="54"/>
      <c r="F17" s="29"/>
      <c r="G17" s="29"/>
      <c r="H17" s="29"/>
      <c r="I17" s="29"/>
      <c r="J17" s="29"/>
      <c r="K17" s="29"/>
      <c r="L17" s="29"/>
      <c r="M17" s="29"/>
      <c r="N17" s="49"/>
      <c r="O17" s="4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49"/>
      <c r="AC17" s="4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9"/>
      <c r="AQ17" s="4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9"/>
      <c r="BE17" s="4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/>
    </row>
    <row r="18" spans="1:73" s="18" customFormat="1" ht="29.4" customHeight="1">
      <c r="A18" s="45" t="s">
        <v>35</v>
      </c>
      <c r="B18" s="15"/>
      <c r="C18" s="16"/>
      <c r="D18" s="50"/>
      <c r="E18" s="54"/>
      <c r="F18" s="29"/>
      <c r="G18" s="29"/>
      <c r="H18" s="29"/>
      <c r="I18" s="29"/>
      <c r="J18" s="29"/>
      <c r="K18" s="29"/>
      <c r="L18" s="29"/>
      <c r="M18" s="29"/>
      <c r="N18" s="49"/>
      <c r="O18" s="4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9"/>
      <c r="AC18" s="4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9"/>
      <c r="AQ18" s="4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9"/>
      <c r="BE18" s="4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45" t="s">
        <v>36</v>
      </c>
      <c r="B19" s="15"/>
      <c r="C19" s="16"/>
      <c r="D19" s="50"/>
      <c r="E19" s="54"/>
      <c r="F19" s="29"/>
      <c r="G19" s="29"/>
      <c r="H19" s="29"/>
      <c r="I19" s="29"/>
      <c r="J19" s="29"/>
      <c r="K19" s="29"/>
      <c r="L19" s="29"/>
      <c r="M19" s="29"/>
      <c r="N19" s="49"/>
      <c r="O19" s="4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9"/>
      <c r="AC19" s="4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9"/>
      <c r="AQ19" s="4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9"/>
      <c r="BE19" s="4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45" t="s">
        <v>37</v>
      </c>
      <c r="B20" s="15"/>
      <c r="C20" s="16"/>
      <c r="D20" s="50"/>
      <c r="E20" s="54"/>
      <c r="F20" s="29"/>
      <c r="G20" s="29"/>
      <c r="H20" s="29"/>
      <c r="I20" s="29"/>
      <c r="J20" s="29"/>
      <c r="K20" s="29"/>
      <c r="L20" s="29"/>
      <c r="M20" s="29"/>
      <c r="N20" s="49"/>
      <c r="O20" s="4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9"/>
      <c r="AC20" s="4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9"/>
      <c r="AQ20" s="4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9"/>
      <c r="BE20" s="4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45" t="s">
        <v>38</v>
      </c>
      <c r="B21" s="15"/>
      <c r="C21" s="16"/>
      <c r="D21" s="50"/>
      <c r="E21" s="54"/>
      <c r="F21" s="29"/>
      <c r="G21" s="29"/>
      <c r="H21" s="29"/>
      <c r="I21" s="29"/>
      <c r="J21" s="29"/>
      <c r="K21" s="29"/>
      <c r="L21" s="29"/>
      <c r="M21" s="29"/>
      <c r="N21" s="49"/>
      <c r="O21" s="4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9"/>
      <c r="AC21" s="4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9"/>
      <c r="AQ21" s="4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9"/>
      <c r="BE21" s="4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45" t="s">
        <v>39</v>
      </c>
      <c r="B22" s="15"/>
      <c r="C22" s="16"/>
      <c r="D22" s="50"/>
      <c r="E22" s="54"/>
      <c r="F22" s="29"/>
      <c r="G22" s="29"/>
      <c r="H22" s="29"/>
      <c r="I22" s="29"/>
      <c r="J22" s="29"/>
      <c r="K22" s="29"/>
      <c r="L22" s="29"/>
      <c r="M22" s="29"/>
      <c r="N22" s="49"/>
      <c r="O22" s="4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9"/>
      <c r="AC22" s="4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9"/>
      <c r="AQ22" s="4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9"/>
      <c r="BE22" s="4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45" t="s">
        <v>40</v>
      </c>
      <c r="B23" s="15"/>
      <c r="C23" s="16"/>
      <c r="D23" s="50"/>
      <c r="E23" s="54"/>
      <c r="F23" s="29"/>
      <c r="G23" s="29"/>
      <c r="H23" s="29"/>
      <c r="I23" s="29"/>
      <c r="J23" s="29"/>
      <c r="K23" s="29"/>
      <c r="L23" s="29"/>
      <c r="M23" s="29"/>
      <c r="N23" s="49"/>
      <c r="O23" s="4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49"/>
      <c r="AC23" s="4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49"/>
      <c r="AQ23" s="4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49"/>
      <c r="BE23" s="4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45" t="s">
        <v>41</v>
      </c>
      <c r="B24" s="15"/>
      <c r="C24" s="16"/>
      <c r="D24" s="50"/>
      <c r="E24" s="54"/>
      <c r="F24" s="29"/>
      <c r="G24" s="29"/>
      <c r="H24" s="29"/>
      <c r="I24" s="29"/>
      <c r="J24" s="29"/>
      <c r="K24" s="29"/>
      <c r="L24" s="29"/>
      <c r="M24" s="29"/>
      <c r="N24" s="49"/>
      <c r="O24" s="4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49"/>
      <c r="AC24" s="4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49"/>
      <c r="AQ24" s="4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49"/>
      <c r="BE24" s="4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8"/>
      <c r="B25" s="38"/>
      <c r="C25" s="39"/>
      <c r="D25" s="39"/>
      <c r="E25" s="54"/>
      <c r="F25" s="29"/>
      <c r="G25" s="29"/>
      <c r="H25" s="29"/>
      <c r="I25" s="29"/>
      <c r="J25" s="29"/>
      <c r="K25" s="29"/>
      <c r="L25" s="29"/>
      <c r="M25" s="29"/>
      <c r="N25" s="49"/>
      <c r="O25" s="4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49"/>
      <c r="AC25" s="4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49"/>
      <c r="AQ25" s="4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49"/>
      <c r="BE25" s="4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70" t="s">
        <v>4</v>
      </c>
      <c r="B26" s="71"/>
      <c r="C26" s="71"/>
      <c r="D26" s="71"/>
      <c r="E26" s="7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28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46"/>
      <c r="B27" s="22"/>
      <c r="C27" s="22"/>
      <c r="D27" s="22"/>
      <c r="E27" s="55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52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56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57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57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57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8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73">
    <mergeCell ref="A26:E26"/>
    <mergeCell ref="AV9:AW9"/>
    <mergeCell ref="AX9:AY9"/>
    <mergeCell ref="AZ9:BA9"/>
    <mergeCell ref="BB9:BC9"/>
    <mergeCell ref="BD9:BE9"/>
    <mergeCell ref="BF9:BG9"/>
    <mergeCell ref="AJ9:AK9"/>
    <mergeCell ref="AL9:AM9"/>
    <mergeCell ref="AN9:AO9"/>
    <mergeCell ref="AP9:AQ9"/>
    <mergeCell ref="AR9:AS9"/>
    <mergeCell ref="AT9:AU9"/>
    <mergeCell ref="X9:Y9"/>
    <mergeCell ref="Z9:AA9"/>
    <mergeCell ref="AB9:AC9"/>
    <mergeCell ref="AD9:AE9"/>
    <mergeCell ref="AF9:AG9"/>
    <mergeCell ref="AH9:AI9"/>
    <mergeCell ref="BU8:BU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H8:BI8"/>
    <mergeCell ref="BJ8:BK8"/>
    <mergeCell ref="BL8:BM8"/>
    <mergeCell ref="BN8:BO8"/>
    <mergeCell ref="BP8:BS9"/>
    <mergeCell ref="BT8:BT10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AJ8:AK8"/>
    <mergeCell ref="AL8:AM8"/>
    <mergeCell ref="AN8:AO8"/>
    <mergeCell ref="AP8:AQ8"/>
    <mergeCell ref="AR8:AS8"/>
    <mergeCell ref="AT8:AU8"/>
    <mergeCell ref="X8:Y8"/>
    <mergeCell ref="Z8:AA8"/>
    <mergeCell ref="AB8:AC8"/>
    <mergeCell ref="AD8:AE8"/>
    <mergeCell ref="AF8:AG8"/>
    <mergeCell ref="AH8:AI8"/>
    <mergeCell ref="L8:M8"/>
    <mergeCell ref="N8:O8"/>
    <mergeCell ref="P8:Q8"/>
    <mergeCell ref="R8:S8"/>
    <mergeCell ref="T8:U8"/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</mergeCells>
  <conditionalFormatting sqref="B1:B10 B12:B1048576">
    <cfRule type="duplicateValues" dxfId="22" priority="1"/>
  </conditionalFormatting>
  <conditionalFormatting sqref="F8:F9 H8:H9 J8:J9 L8:L9 N8:N9 P8:P9 R8:R9 T8:T9 V8:V9 X8:X9 Z8:Z9 AB8:AB9 AD8:AD9 AF8:AF9 AH8:AH9 AJ8:AJ9 AL8:AL9 AN8:AN9 AP8:AP9 AR8:AR9 AT8:AT9 AV8:AV9 AX8:AX9 AZ8:AZ9 BB8:BB9 BD8:BD9 BF8:BF9 BH8:BH9 BJ8:BJ9 BL8:BL9 BN8:BN9">
    <cfRule type="expression" dxfId="20" priority="4">
      <formula>IF(OR(H$10="CN",H$10="OT CN"),1,0)</formula>
    </cfRule>
  </conditionalFormatting>
  <conditionalFormatting sqref="F11:BO27">
    <cfRule type="expression" dxfId="19" priority="2">
      <formula>IF(OR(F$10="CN",F$10="OT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8E781DE2-273E-4563-ABC6-92B98F0C5D8A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C11 B12:D25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33"/>
  <sheetViews>
    <sheetView zoomScaleNormal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C16" sqref="C16"/>
    </sheetView>
  </sheetViews>
  <sheetFormatPr defaultColWidth="14.33203125" defaultRowHeight="15"/>
  <cols>
    <col min="1" max="1" width="12.44140625" style="42" customWidth="1"/>
    <col min="2" max="2" width="18.33203125" style="8" customWidth="1"/>
    <col min="3" max="3" width="29.109375" style="1" customWidth="1"/>
    <col min="4" max="4" width="20" style="1" customWidth="1"/>
    <col min="5" max="5" width="12.21875" style="59" customWidth="1"/>
    <col min="6" max="11" width="6.44140625" style="1" hidden="1" customWidth="1"/>
    <col min="12" max="32" width="6.44140625" style="1" customWidth="1"/>
    <col min="33" max="33" width="10" style="1" customWidth="1"/>
    <col min="34" max="65" width="6.44140625" style="1" customWidth="1"/>
    <col min="66" max="67" width="8.44140625" style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41"/>
      <c r="E1" s="51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51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51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5"/>
    </row>
    <row r="5" spans="1:73" ht="29.4">
      <c r="A5" s="89" t="s">
        <v>43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</row>
    <row r="6" spans="1:73">
      <c r="A6" s="43"/>
      <c r="B6" s="3"/>
      <c r="C6" s="3"/>
      <c r="D6" s="3"/>
      <c r="E6" s="5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44"/>
      <c r="B7" s="6"/>
      <c r="C7" s="5"/>
      <c r="D7" s="5"/>
      <c r="E7" s="5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3" t="s">
        <v>0</v>
      </c>
      <c r="B8" s="83" t="s">
        <v>5</v>
      </c>
      <c r="C8" s="63" t="s">
        <v>6</v>
      </c>
      <c r="D8" s="63" t="s">
        <v>45</v>
      </c>
      <c r="E8" s="86" t="s">
        <v>47</v>
      </c>
      <c r="F8" s="66"/>
      <c r="G8" s="67"/>
      <c r="H8" s="66"/>
      <c r="I8" s="67"/>
      <c r="J8" s="66"/>
      <c r="K8" s="67"/>
      <c r="L8" s="66">
        <v>1</v>
      </c>
      <c r="M8" s="67"/>
      <c r="N8" s="66">
        <v>2</v>
      </c>
      <c r="O8" s="67"/>
      <c r="P8" s="66">
        <v>3</v>
      </c>
      <c r="Q8" s="67"/>
      <c r="R8" s="66">
        <v>4</v>
      </c>
      <c r="S8" s="67"/>
      <c r="T8" s="66">
        <v>5</v>
      </c>
      <c r="U8" s="67"/>
      <c r="V8" s="66">
        <v>6</v>
      </c>
      <c r="W8" s="67"/>
      <c r="X8" s="66">
        <v>7</v>
      </c>
      <c r="Y8" s="67"/>
      <c r="Z8" s="66">
        <v>8</v>
      </c>
      <c r="AA8" s="67"/>
      <c r="AB8" s="66">
        <v>9</v>
      </c>
      <c r="AC8" s="67"/>
      <c r="AD8" s="66">
        <v>10</v>
      </c>
      <c r="AE8" s="67"/>
      <c r="AF8" s="66">
        <v>11</v>
      </c>
      <c r="AG8" s="67"/>
      <c r="AH8" s="66">
        <v>12</v>
      </c>
      <c r="AI8" s="67"/>
      <c r="AJ8" s="66">
        <v>13</v>
      </c>
      <c r="AK8" s="67"/>
      <c r="AL8" s="66">
        <v>14</v>
      </c>
      <c r="AM8" s="67"/>
      <c r="AN8" s="66">
        <v>15</v>
      </c>
      <c r="AO8" s="67"/>
      <c r="AP8" s="66">
        <v>16</v>
      </c>
      <c r="AQ8" s="67"/>
      <c r="AR8" s="66">
        <v>17</v>
      </c>
      <c r="AS8" s="67"/>
      <c r="AT8" s="66">
        <v>18</v>
      </c>
      <c r="AU8" s="67"/>
      <c r="AV8" s="66">
        <v>19</v>
      </c>
      <c r="AW8" s="67"/>
      <c r="AX8" s="66">
        <v>20</v>
      </c>
      <c r="AY8" s="67"/>
      <c r="AZ8" s="66">
        <v>21</v>
      </c>
      <c r="BA8" s="67"/>
      <c r="BB8" s="66">
        <v>22</v>
      </c>
      <c r="BC8" s="67"/>
      <c r="BD8" s="66">
        <v>23</v>
      </c>
      <c r="BE8" s="67"/>
      <c r="BF8" s="66">
        <v>24</v>
      </c>
      <c r="BG8" s="67"/>
      <c r="BH8" s="66">
        <v>25</v>
      </c>
      <c r="BI8" s="67"/>
      <c r="BJ8" s="66">
        <v>26</v>
      </c>
      <c r="BK8" s="67"/>
      <c r="BL8" s="66">
        <v>27</v>
      </c>
      <c r="BM8" s="67"/>
      <c r="BN8" s="66">
        <v>28</v>
      </c>
      <c r="BO8" s="67"/>
      <c r="BP8" s="76" t="s">
        <v>7</v>
      </c>
      <c r="BQ8" s="77"/>
      <c r="BR8" s="77"/>
      <c r="BS8" s="78"/>
      <c r="BT8" s="73" t="s">
        <v>23</v>
      </c>
      <c r="BU8" s="90" t="s">
        <v>17</v>
      </c>
    </row>
    <row r="9" spans="1:73" s="11" customFormat="1" ht="26.55" customHeight="1">
      <c r="A9" s="84"/>
      <c r="B9" s="84"/>
      <c r="C9" s="64"/>
      <c r="D9" s="64"/>
      <c r="E9" s="87"/>
      <c r="F9" s="68"/>
      <c r="G9" s="69"/>
      <c r="H9" s="68"/>
      <c r="I9" s="69"/>
      <c r="J9" s="68"/>
      <c r="K9" s="69"/>
      <c r="L9" s="68" t="s">
        <v>13</v>
      </c>
      <c r="M9" s="69"/>
      <c r="N9" s="68" t="s">
        <v>14</v>
      </c>
      <c r="O9" s="69"/>
      <c r="P9" s="68" t="s">
        <v>8</v>
      </c>
      <c r="Q9" s="69"/>
      <c r="R9" s="68" t="s">
        <v>9</v>
      </c>
      <c r="S9" s="69"/>
      <c r="T9" s="68" t="s">
        <v>10</v>
      </c>
      <c r="U9" s="69"/>
      <c r="V9" s="68" t="s">
        <v>11</v>
      </c>
      <c r="W9" s="69"/>
      <c r="X9" s="68" t="s">
        <v>12</v>
      </c>
      <c r="Y9" s="69"/>
      <c r="Z9" s="68" t="s">
        <v>13</v>
      </c>
      <c r="AA9" s="69"/>
      <c r="AB9" s="68" t="s">
        <v>14</v>
      </c>
      <c r="AC9" s="69"/>
      <c r="AD9" s="68" t="s">
        <v>8</v>
      </c>
      <c r="AE9" s="69"/>
      <c r="AF9" s="68" t="s">
        <v>9</v>
      </c>
      <c r="AG9" s="69"/>
      <c r="AH9" s="68" t="s">
        <v>10</v>
      </c>
      <c r="AI9" s="69"/>
      <c r="AJ9" s="68" t="s">
        <v>11</v>
      </c>
      <c r="AK9" s="69"/>
      <c r="AL9" s="68" t="s">
        <v>12</v>
      </c>
      <c r="AM9" s="69"/>
      <c r="AN9" s="68" t="s">
        <v>13</v>
      </c>
      <c r="AO9" s="69"/>
      <c r="AP9" s="68" t="s">
        <v>14</v>
      </c>
      <c r="AQ9" s="69"/>
      <c r="AR9" s="68" t="s">
        <v>8</v>
      </c>
      <c r="AS9" s="69"/>
      <c r="AT9" s="68" t="s">
        <v>9</v>
      </c>
      <c r="AU9" s="69"/>
      <c r="AV9" s="68" t="s">
        <v>10</v>
      </c>
      <c r="AW9" s="69"/>
      <c r="AX9" s="68" t="s">
        <v>11</v>
      </c>
      <c r="AY9" s="69"/>
      <c r="AZ9" s="68" t="s">
        <v>12</v>
      </c>
      <c r="BA9" s="69"/>
      <c r="BB9" s="68" t="s">
        <v>13</v>
      </c>
      <c r="BC9" s="69"/>
      <c r="BD9" s="68" t="s">
        <v>14</v>
      </c>
      <c r="BE9" s="69"/>
      <c r="BF9" s="68" t="s">
        <v>8</v>
      </c>
      <c r="BG9" s="69"/>
      <c r="BH9" s="68" t="s">
        <v>9</v>
      </c>
      <c r="BI9" s="69"/>
      <c r="BJ9" s="68" t="s">
        <v>10</v>
      </c>
      <c r="BK9" s="69"/>
      <c r="BL9" s="68" t="s">
        <v>11</v>
      </c>
      <c r="BM9" s="69"/>
      <c r="BN9" s="68" t="s">
        <v>12</v>
      </c>
      <c r="BO9" s="69"/>
      <c r="BP9" s="79"/>
      <c r="BQ9" s="80"/>
      <c r="BR9" s="80"/>
      <c r="BS9" s="81"/>
      <c r="BT9" s="74"/>
      <c r="BU9" s="91"/>
    </row>
    <row r="10" spans="1:73" s="11" customFormat="1" ht="42" customHeight="1">
      <c r="A10" s="85"/>
      <c r="B10" s="85"/>
      <c r="C10" s="65"/>
      <c r="D10" s="65"/>
      <c r="E10" s="88"/>
      <c r="F10" s="13"/>
      <c r="G10" s="13"/>
      <c r="H10" s="13"/>
      <c r="I10" s="13"/>
      <c r="J10" s="13"/>
      <c r="K10" s="13"/>
      <c r="L10" s="13" t="s">
        <v>18</v>
      </c>
      <c r="M10" s="13" t="s">
        <v>19</v>
      </c>
      <c r="N10" s="47" t="s">
        <v>20</v>
      </c>
      <c r="O10" s="47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47" t="s">
        <v>20</v>
      </c>
      <c r="AC10" s="47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47" t="s">
        <v>20</v>
      </c>
      <c r="AQ10" s="47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47" t="s">
        <v>20</v>
      </c>
      <c r="BE10" s="47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75"/>
      <c r="BU10" s="92"/>
    </row>
    <row r="11" spans="1:73" s="18" customFormat="1" ht="29.55" customHeight="1">
      <c r="A11" s="45" t="s">
        <v>26</v>
      </c>
      <c r="B11" s="96" t="s">
        <v>52</v>
      </c>
      <c r="C11" s="16" t="s">
        <v>44</v>
      </c>
      <c r="D11" s="40" t="s">
        <v>46</v>
      </c>
      <c r="E11" s="54">
        <v>750000</v>
      </c>
      <c r="F11" s="29"/>
      <c r="G11" s="29"/>
      <c r="H11" s="29"/>
      <c r="I11" s="29"/>
      <c r="J11" s="29"/>
      <c r="K11" s="29"/>
      <c r="L11" s="29">
        <v>8</v>
      </c>
      <c r="M11" s="29"/>
      <c r="N11" s="49"/>
      <c r="O11" s="49"/>
      <c r="P11" s="29">
        <v>8</v>
      </c>
      <c r="Q11" s="29"/>
      <c r="R11" s="29">
        <v>8</v>
      </c>
      <c r="S11" s="29"/>
      <c r="T11" s="29">
        <v>8</v>
      </c>
      <c r="U11" s="29"/>
      <c r="V11" s="29">
        <v>8</v>
      </c>
      <c r="W11" s="29"/>
      <c r="X11" s="29">
        <v>8</v>
      </c>
      <c r="Y11" s="29"/>
      <c r="Z11" s="29"/>
      <c r="AA11" s="29"/>
      <c r="AB11" s="49"/>
      <c r="AC11" s="4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49"/>
      <c r="AQ11" s="4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49"/>
      <c r="BE11" s="4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7">
        <f>SUMIF($F$10:$BO$10,"HC",F11:BO11)</f>
        <v>48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/>
    </row>
    <row r="12" spans="1:73" s="18" customFormat="1" ht="29.55" customHeight="1">
      <c r="A12" s="45" t="s">
        <v>27</v>
      </c>
      <c r="B12" s="96" t="s">
        <v>71</v>
      </c>
      <c r="C12" s="95" t="s">
        <v>66</v>
      </c>
      <c r="D12" s="94" t="s">
        <v>67</v>
      </c>
      <c r="E12" s="54">
        <v>750000</v>
      </c>
      <c r="F12" s="29"/>
      <c r="G12" s="29"/>
      <c r="H12" s="29"/>
      <c r="I12" s="29"/>
      <c r="J12" s="29"/>
      <c r="K12" s="29"/>
      <c r="L12" s="29"/>
      <c r="M12" s="29"/>
      <c r="N12" s="49"/>
      <c r="O12" s="49"/>
      <c r="P12" s="29">
        <v>8</v>
      </c>
      <c r="Q12" s="29"/>
      <c r="R12" s="29">
        <v>8</v>
      </c>
      <c r="S12" s="29"/>
      <c r="T12" s="29">
        <v>8</v>
      </c>
      <c r="U12" s="29"/>
      <c r="V12" s="29"/>
      <c r="W12" s="29"/>
      <c r="X12" s="29">
        <v>8</v>
      </c>
      <c r="Y12" s="29"/>
      <c r="Z12" s="29"/>
      <c r="AA12" s="29"/>
      <c r="AB12" s="49"/>
      <c r="AC12" s="4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49"/>
      <c r="AQ12" s="4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49"/>
      <c r="BE12" s="4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32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/>
    </row>
    <row r="13" spans="1:73" s="18" customFormat="1" ht="29.55" customHeight="1">
      <c r="A13" s="45" t="s">
        <v>28</v>
      </c>
      <c r="B13" s="97" t="s">
        <v>72</v>
      </c>
      <c r="C13" s="16" t="s">
        <v>68</v>
      </c>
      <c r="D13" s="50" t="s">
        <v>69</v>
      </c>
      <c r="E13" s="54">
        <v>750000</v>
      </c>
      <c r="F13" s="29"/>
      <c r="G13" s="29"/>
      <c r="H13" s="29"/>
      <c r="I13" s="29"/>
      <c r="J13" s="29"/>
      <c r="K13" s="29"/>
      <c r="L13" s="29"/>
      <c r="M13" s="29"/>
      <c r="N13" s="49"/>
      <c r="O13" s="49"/>
      <c r="P13" s="29"/>
      <c r="Q13" s="29"/>
      <c r="R13" s="29">
        <v>8</v>
      </c>
      <c r="S13" s="29"/>
      <c r="T13" s="29">
        <v>8</v>
      </c>
      <c r="U13" s="29"/>
      <c r="V13" s="29">
        <v>8</v>
      </c>
      <c r="W13" s="29"/>
      <c r="X13" s="29">
        <v>8</v>
      </c>
      <c r="Y13" s="29"/>
      <c r="Z13" s="29"/>
      <c r="AA13" s="29"/>
      <c r="AB13" s="49"/>
      <c r="AC13" s="4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49"/>
      <c r="AQ13" s="4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49"/>
      <c r="BE13" s="4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32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/>
    </row>
    <row r="14" spans="1:73" s="18" customFormat="1" ht="29.55" customHeight="1">
      <c r="A14" s="45" t="s">
        <v>29</v>
      </c>
      <c r="B14" s="96" t="s">
        <v>73</v>
      </c>
      <c r="C14" s="16" t="s">
        <v>70</v>
      </c>
      <c r="D14" s="50" t="s">
        <v>69</v>
      </c>
      <c r="E14" s="54">
        <v>750000</v>
      </c>
      <c r="F14" s="29"/>
      <c r="G14" s="29"/>
      <c r="H14" s="29"/>
      <c r="I14" s="29"/>
      <c r="J14" s="29"/>
      <c r="K14" s="29"/>
      <c r="L14" s="29"/>
      <c r="M14" s="29"/>
      <c r="N14" s="49"/>
      <c r="O14" s="49"/>
      <c r="P14" s="29"/>
      <c r="Q14" s="29"/>
      <c r="R14" s="29">
        <v>8</v>
      </c>
      <c r="S14" s="29"/>
      <c r="T14" s="29"/>
      <c r="U14" s="29"/>
      <c r="V14" s="29"/>
      <c r="W14" s="29"/>
      <c r="X14" s="29">
        <v>8</v>
      </c>
      <c r="Y14" s="29"/>
      <c r="Z14" s="29"/>
      <c r="AA14" s="29"/>
      <c r="AB14" s="49"/>
      <c r="AC14" s="4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49"/>
      <c r="AQ14" s="4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49"/>
      <c r="BE14" s="4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16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/>
    </row>
    <row r="15" spans="1:73" s="18" customFormat="1" ht="29.55" customHeight="1">
      <c r="A15" s="45" t="s">
        <v>30</v>
      </c>
      <c r="B15" s="15"/>
      <c r="C15" s="16"/>
      <c r="D15" s="50"/>
      <c r="E15" s="54"/>
      <c r="F15" s="29"/>
      <c r="G15" s="29"/>
      <c r="H15" s="29"/>
      <c r="I15" s="29"/>
      <c r="J15" s="29"/>
      <c r="K15" s="29"/>
      <c r="L15" s="29"/>
      <c r="M15" s="29"/>
      <c r="N15" s="49"/>
      <c r="O15" s="4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49"/>
      <c r="AC15" s="4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49"/>
      <c r="AQ15" s="4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49"/>
      <c r="BE15" s="4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0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/>
    </row>
    <row r="16" spans="1:73" s="18" customFormat="1" ht="29.55" customHeight="1">
      <c r="A16" s="45" t="s">
        <v>31</v>
      </c>
      <c r="B16" s="15"/>
      <c r="C16" s="16"/>
      <c r="D16" s="50"/>
      <c r="E16" s="54"/>
      <c r="F16" s="29"/>
      <c r="G16" s="29"/>
      <c r="H16" s="29"/>
      <c r="I16" s="29"/>
      <c r="J16" s="29"/>
      <c r="K16" s="29"/>
      <c r="L16" s="29"/>
      <c r="M16" s="29"/>
      <c r="N16" s="49"/>
      <c r="O16" s="4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49"/>
      <c r="AC16" s="4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49"/>
      <c r="AQ16" s="4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49"/>
      <c r="BE16" s="4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0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/>
    </row>
    <row r="17" spans="1:73" s="18" customFormat="1" ht="29.55" customHeight="1">
      <c r="A17" s="45" t="s">
        <v>32</v>
      </c>
      <c r="B17" s="15"/>
      <c r="C17" s="16"/>
      <c r="D17" s="50"/>
      <c r="E17" s="54"/>
      <c r="F17" s="29"/>
      <c r="G17" s="29"/>
      <c r="H17" s="29"/>
      <c r="I17" s="29"/>
      <c r="J17" s="29"/>
      <c r="K17" s="29"/>
      <c r="L17" s="29"/>
      <c r="M17" s="29"/>
      <c r="N17" s="49"/>
      <c r="O17" s="4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49"/>
      <c r="AC17" s="4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9"/>
      <c r="AQ17" s="4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9"/>
      <c r="BE17" s="4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/>
    </row>
    <row r="18" spans="1:73" s="18" customFormat="1" ht="29.4" customHeight="1">
      <c r="A18" s="45" t="s">
        <v>35</v>
      </c>
      <c r="B18" s="15"/>
      <c r="C18" s="16"/>
      <c r="D18" s="50"/>
      <c r="E18" s="54"/>
      <c r="F18" s="29"/>
      <c r="G18" s="29"/>
      <c r="H18" s="29"/>
      <c r="I18" s="29"/>
      <c r="J18" s="29"/>
      <c r="K18" s="29"/>
      <c r="L18" s="29"/>
      <c r="M18" s="29"/>
      <c r="N18" s="49"/>
      <c r="O18" s="4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9"/>
      <c r="AC18" s="4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9"/>
      <c r="AQ18" s="4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9"/>
      <c r="BE18" s="4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45" t="s">
        <v>36</v>
      </c>
      <c r="B19" s="15"/>
      <c r="C19" s="16"/>
      <c r="D19" s="50"/>
      <c r="E19" s="54"/>
      <c r="F19" s="29"/>
      <c r="G19" s="29"/>
      <c r="H19" s="29"/>
      <c r="I19" s="29"/>
      <c r="J19" s="29"/>
      <c r="K19" s="29"/>
      <c r="L19" s="29"/>
      <c r="M19" s="29"/>
      <c r="N19" s="49"/>
      <c r="O19" s="4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9"/>
      <c r="AC19" s="4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9"/>
      <c r="AQ19" s="4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9"/>
      <c r="BE19" s="4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45" t="s">
        <v>37</v>
      </c>
      <c r="B20" s="15"/>
      <c r="C20" s="16"/>
      <c r="D20" s="50"/>
      <c r="E20" s="54"/>
      <c r="F20" s="29"/>
      <c r="G20" s="29"/>
      <c r="H20" s="29"/>
      <c r="I20" s="29"/>
      <c r="J20" s="29"/>
      <c r="K20" s="29"/>
      <c r="L20" s="29"/>
      <c r="M20" s="29"/>
      <c r="N20" s="49"/>
      <c r="O20" s="4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9"/>
      <c r="AC20" s="4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9"/>
      <c r="AQ20" s="4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9"/>
      <c r="BE20" s="4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45" t="s">
        <v>38</v>
      </c>
      <c r="B21" s="15"/>
      <c r="C21" s="16"/>
      <c r="D21" s="50"/>
      <c r="E21" s="54"/>
      <c r="F21" s="29"/>
      <c r="G21" s="29"/>
      <c r="H21" s="29"/>
      <c r="I21" s="29"/>
      <c r="J21" s="29"/>
      <c r="K21" s="29"/>
      <c r="L21" s="29"/>
      <c r="M21" s="29"/>
      <c r="N21" s="49"/>
      <c r="O21" s="4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9"/>
      <c r="AC21" s="4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9"/>
      <c r="AQ21" s="4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9"/>
      <c r="BE21" s="4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45" t="s">
        <v>39</v>
      </c>
      <c r="B22" s="15"/>
      <c r="C22" s="16"/>
      <c r="D22" s="50"/>
      <c r="E22" s="54"/>
      <c r="F22" s="29"/>
      <c r="G22" s="29"/>
      <c r="H22" s="29"/>
      <c r="I22" s="29"/>
      <c r="J22" s="29"/>
      <c r="K22" s="29"/>
      <c r="L22" s="29"/>
      <c r="M22" s="29"/>
      <c r="N22" s="49"/>
      <c r="O22" s="4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9"/>
      <c r="AC22" s="4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9"/>
      <c r="AQ22" s="4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9"/>
      <c r="BE22" s="4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45" t="s">
        <v>40</v>
      </c>
      <c r="B23" s="15"/>
      <c r="C23" s="16"/>
      <c r="D23" s="50"/>
      <c r="E23" s="54"/>
      <c r="F23" s="29"/>
      <c r="G23" s="29"/>
      <c r="H23" s="29"/>
      <c r="I23" s="29"/>
      <c r="J23" s="29"/>
      <c r="K23" s="29"/>
      <c r="L23" s="29"/>
      <c r="M23" s="29"/>
      <c r="N23" s="49"/>
      <c r="O23" s="4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49"/>
      <c r="AC23" s="4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49"/>
      <c r="AQ23" s="4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49"/>
      <c r="BE23" s="4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45" t="s">
        <v>41</v>
      </c>
      <c r="B24" s="15"/>
      <c r="C24" s="16"/>
      <c r="D24" s="50"/>
      <c r="E24" s="54"/>
      <c r="F24" s="29"/>
      <c r="G24" s="29"/>
      <c r="H24" s="29"/>
      <c r="I24" s="29"/>
      <c r="J24" s="29"/>
      <c r="K24" s="29"/>
      <c r="L24" s="29"/>
      <c r="M24" s="29"/>
      <c r="N24" s="49"/>
      <c r="O24" s="4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49"/>
      <c r="AC24" s="4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49"/>
      <c r="AQ24" s="4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49"/>
      <c r="BE24" s="4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8"/>
      <c r="B25" s="38"/>
      <c r="C25" s="39"/>
      <c r="D25" s="39"/>
      <c r="E25" s="54"/>
      <c r="F25" s="29"/>
      <c r="G25" s="29"/>
      <c r="H25" s="29"/>
      <c r="I25" s="29"/>
      <c r="J25" s="29"/>
      <c r="K25" s="29"/>
      <c r="L25" s="29"/>
      <c r="M25" s="29"/>
      <c r="N25" s="49"/>
      <c r="O25" s="4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49"/>
      <c r="AC25" s="4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49"/>
      <c r="AQ25" s="4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49"/>
      <c r="BE25" s="4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70" t="s">
        <v>4</v>
      </c>
      <c r="B26" s="71"/>
      <c r="C26" s="71"/>
      <c r="D26" s="71"/>
      <c r="E26" s="7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128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46"/>
      <c r="B27" s="22"/>
      <c r="C27" s="22"/>
      <c r="D27" s="22"/>
      <c r="E27" s="55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52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56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57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57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57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8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73">
    <mergeCell ref="F8:G8"/>
    <mergeCell ref="H8:I8"/>
    <mergeCell ref="AX8:AY8"/>
    <mergeCell ref="AZ8:BA8"/>
    <mergeCell ref="R8:S8"/>
    <mergeCell ref="BB8:BC8"/>
    <mergeCell ref="AJ9:AK9"/>
    <mergeCell ref="BL8:BM8"/>
    <mergeCell ref="BN8:BO8"/>
    <mergeCell ref="AX9:AY9"/>
    <mergeCell ref="AF9:AG9"/>
    <mergeCell ref="AH9:AI9"/>
    <mergeCell ref="A4:BC4"/>
    <mergeCell ref="A8:A10"/>
    <mergeCell ref="B8:B10"/>
    <mergeCell ref="C8:C10"/>
    <mergeCell ref="E8:E10"/>
    <mergeCell ref="A5:BU5"/>
    <mergeCell ref="BU8:BU10"/>
    <mergeCell ref="H9:I9"/>
    <mergeCell ref="J9:K9"/>
    <mergeCell ref="F9:G9"/>
    <mergeCell ref="BH8:BI8"/>
    <mergeCell ref="BJ8:BK8"/>
    <mergeCell ref="P8:Q8"/>
    <mergeCell ref="AB8:AC8"/>
    <mergeCell ref="AD9:AE9"/>
    <mergeCell ref="AB9:AC9"/>
    <mergeCell ref="A26:E26"/>
    <mergeCell ref="BT8:BT10"/>
    <mergeCell ref="BP8:BS9"/>
    <mergeCell ref="AZ9:BA9"/>
    <mergeCell ref="BB9:BC9"/>
    <mergeCell ref="BD9:BE9"/>
    <mergeCell ref="BF9:BG9"/>
    <mergeCell ref="BH9:BI9"/>
    <mergeCell ref="BJ9:BK9"/>
    <mergeCell ref="BL9:BM9"/>
    <mergeCell ref="BN9:BO9"/>
    <mergeCell ref="BD8:BE8"/>
    <mergeCell ref="BF8:BG8"/>
    <mergeCell ref="AR9:AS9"/>
    <mergeCell ref="AT9:AU9"/>
    <mergeCell ref="AV9:AW9"/>
    <mergeCell ref="AD8:AE8"/>
    <mergeCell ref="AF8:AG8"/>
    <mergeCell ref="AH8:AI8"/>
    <mergeCell ref="AJ8:AK8"/>
    <mergeCell ref="AL8:AM8"/>
    <mergeCell ref="AR8:AS8"/>
    <mergeCell ref="AT8:AU8"/>
    <mergeCell ref="AV8:AW8"/>
    <mergeCell ref="AN8:AO8"/>
    <mergeCell ref="AP8:AQ8"/>
    <mergeCell ref="AL9:AM9"/>
    <mergeCell ref="AN9:AO9"/>
    <mergeCell ref="AP9:AQ9"/>
    <mergeCell ref="D8:D10"/>
    <mergeCell ref="T8:U8"/>
    <mergeCell ref="V8:W8"/>
    <mergeCell ref="X8:Y8"/>
    <mergeCell ref="Z8:AA8"/>
    <mergeCell ref="T9:U9"/>
    <mergeCell ref="V9:W9"/>
    <mergeCell ref="X9:Y9"/>
    <mergeCell ref="Z9:AA9"/>
    <mergeCell ref="J8:K8"/>
    <mergeCell ref="L9:M9"/>
    <mergeCell ref="N9:O9"/>
    <mergeCell ref="P9:Q9"/>
    <mergeCell ref="R9:S9"/>
    <mergeCell ref="L8:M8"/>
    <mergeCell ref="N8:O8"/>
  </mergeCells>
  <phoneticPr fontId="21" type="noConversion"/>
  <conditionalFormatting sqref="B1:B10 B15:B1048576">
    <cfRule type="duplicateValues" dxfId="30" priority="2"/>
  </conditionalFormatting>
  <conditionalFormatting sqref="F8:F9 H8:H9 J8:J9 L8:L9 N8:N9 P8:P9 R8:R9 T8:T9 V8:V9 X8:X9 Z8:Z9 AB8:AB9 AD8:AD9 AF8:AF9 AH8:AH9 AJ8:AJ9 AL8:AL9 AN8:AN9 AP8:AP9 AR8:AR9 AT8:AT9 AV8:AV9 AX8:AX9 AZ8:AZ9 BB8:BB9 BD8:BD9 BF8:BF9 BH8:BH9 BJ8:BJ9 BL8:BL9 BN8:BN9">
    <cfRule type="expression" dxfId="28" priority="5">
      <formula>IF(OR(H$10="CN",H$10="OT CN"),1,0)</formula>
    </cfRule>
  </conditionalFormatting>
  <conditionalFormatting sqref="F11:BO27">
    <cfRule type="expression" dxfId="27" priority="3">
      <formula>IF(OR(F$10="CN",F$10="OT CN"),1,0)</formula>
    </cfRule>
  </conditionalFormatting>
  <conditionalFormatting sqref="B11">
    <cfRule type="duplicateValues" dxfId="6" priority="1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8A80575-94E3-4A3A-A4F5-B5C0C115A1E8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C11 B15:D25 C13:D14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6288-A27D-4C13-9408-D644E1306BBA}">
  <dimension ref="A1:BU33"/>
  <sheetViews>
    <sheetView workbookViewId="0">
      <selection activeCell="W15" sqref="W15"/>
    </sheetView>
  </sheetViews>
  <sheetFormatPr defaultColWidth="14.33203125" defaultRowHeight="15"/>
  <cols>
    <col min="1" max="1" width="12.44140625" style="42" customWidth="1"/>
    <col min="2" max="2" width="18.33203125" style="8" customWidth="1"/>
    <col min="3" max="3" width="29.109375" style="1" customWidth="1"/>
    <col min="4" max="4" width="20" style="1" customWidth="1"/>
    <col min="5" max="5" width="12.21875" style="59" customWidth="1"/>
    <col min="6" max="11" width="6.44140625" style="1" hidden="1" customWidth="1"/>
    <col min="12" max="32" width="6.44140625" style="1" customWidth="1"/>
    <col min="33" max="33" width="10" style="1" customWidth="1"/>
    <col min="34" max="65" width="6.44140625" style="1" customWidth="1"/>
    <col min="66" max="67" width="8.44140625" style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41"/>
      <c r="E1" s="51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51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51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5"/>
    </row>
    <row r="5" spans="1:73" ht="29.4">
      <c r="A5" s="89" t="s">
        <v>43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</row>
    <row r="6" spans="1:73">
      <c r="A6" s="43"/>
      <c r="B6" s="3"/>
      <c r="C6" s="3"/>
      <c r="D6" s="3"/>
      <c r="E6" s="5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44"/>
      <c r="B7" s="6"/>
      <c r="C7" s="5"/>
      <c r="D7" s="5"/>
      <c r="E7" s="5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3" t="s">
        <v>0</v>
      </c>
      <c r="B8" s="83" t="s">
        <v>5</v>
      </c>
      <c r="C8" s="63" t="s">
        <v>6</v>
      </c>
      <c r="D8" s="63" t="s">
        <v>45</v>
      </c>
      <c r="E8" s="86" t="s">
        <v>47</v>
      </c>
      <c r="F8" s="66"/>
      <c r="G8" s="67"/>
      <c r="H8" s="66"/>
      <c r="I8" s="67"/>
      <c r="J8" s="66"/>
      <c r="K8" s="67"/>
      <c r="L8" s="66">
        <v>1</v>
      </c>
      <c r="M8" s="67"/>
      <c r="N8" s="66">
        <v>2</v>
      </c>
      <c r="O8" s="67"/>
      <c r="P8" s="66">
        <v>3</v>
      </c>
      <c r="Q8" s="67"/>
      <c r="R8" s="66">
        <v>4</v>
      </c>
      <c r="S8" s="67"/>
      <c r="T8" s="66">
        <v>5</v>
      </c>
      <c r="U8" s="67"/>
      <c r="V8" s="66">
        <v>6</v>
      </c>
      <c r="W8" s="67"/>
      <c r="X8" s="66">
        <v>7</v>
      </c>
      <c r="Y8" s="67"/>
      <c r="Z8" s="66">
        <v>8</v>
      </c>
      <c r="AA8" s="67"/>
      <c r="AB8" s="66">
        <v>9</v>
      </c>
      <c r="AC8" s="67"/>
      <c r="AD8" s="66">
        <v>10</v>
      </c>
      <c r="AE8" s="67"/>
      <c r="AF8" s="66">
        <v>11</v>
      </c>
      <c r="AG8" s="67"/>
      <c r="AH8" s="66">
        <v>12</v>
      </c>
      <c r="AI8" s="67"/>
      <c r="AJ8" s="66">
        <v>13</v>
      </c>
      <c r="AK8" s="67"/>
      <c r="AL8" s="66">
        <v>14</v>
      </c>
      <c r="AM8" s="67"/>
      <c r="AN8" s="66">
        <v>15</v>
      </c>
      <c r="AO8" s="67"/>
      <c r="AP8" s="66">
        <v>16</v>
      </c>
      <c r="AQ8" s="67"/>
      <c r="AR8" s="66">
        <v>17</v>
      </c>
      <c r="AS8" s="67"/>
      <c r="AT8" s="66">
        <v>18</v>
      </c>
      <c r="AU8" s="67"/>
      <c r="AV8" s="66">
        <v>19</v>
      </c>
      <c r="AW8" s="67"/>
      <c r="AX8" s="66">
        <v>20</v>
      </c>
      <c r="AY8" s="67"/>
      <c r="AZ8" s="66">
        <v>21</v>
      </c>
      <c r="BA8" s="67"/>
      <c r="BB8" s="66">
        <v>22</v>
      </c>
      <c r="BC8" s="67"/>
      <c r="BD8" s="66">
        <v>23</v>
      </c>
      <c r="BE8" s="67"/>
      <c r="BF8" s="66">
        <v>24</v>
      </c>
      <c r="BG8" s="67"/>
      <c r="BH8" s="66">
        <v>25</v>
      </c>
      <c r="BI8" s="67"/>
      <c r="BJ8" s="66">
        <v>26</v>
      </c>
      <c r="BK8" s="67"/>
      <c r="BL8" s="66">
        <v>27</v>
      </c>
      <c r="BM8" s="67"/>
      <c r="BN8" s="66">
        <v>28</v>
      </c>
      <c r="BO8" s="67"/>
      <c r="BP8" s="76" t="s">
        <v>7</v>
      </c>
      <c r="BQ8" s="77"/>
      <c r="BR8" s="77"/>
      <c r="BS8" s="78"/>
      <c r="BT8" s="73" t="s">
        <v>23</v>
      </c>
      <c r="BU8" s="90" t="s">
        <v>17</v>
      </c>
    </row>
    <row r="9" spans="1:73" s="11" customFormat="1" ht="26.55" customHeight="1">
      <c r="A9" s="84"/>
      <c r="B9" s="84"/>
      <c r="C9" s="64"/>
      <c r="D9" s="64"/>
      <c r="E9" s="87"/>
      <c r="F9" s="68"/>
      <c r="G9" s="69"/>
      <c r="H9" s="68"/>
      <c r="I9" s="69"/>
      <c r="J9" s="68"/>
      <c r="K9" s="69"/>
      <c r="L9" s="68" t="s">
        <v>13</v>
      </c>
      <c r="M9" s="69"/>
      <c r="N9" s="68" t="s">
        <v>14</v>
      </c>
      <c r="O9" s="69"/>
      <c r="P9" s="68" t="s">
        <v>8</v>
      </c>
      <c r="Q9" s="69"/>
      <c r="R9" s="68" t="s">
        <v>9</v>
      </c>
      <c r="S9" s="69"/>
      <c r="T9" s="68" t="s">
        <v>10</v>
      </c>
      <c r="U9" s="69"/>
      <c r="V9" s="68" t="s">
        <v>11</v>
      </c>
      <c r="W9" s="69"/>
      <c r="X9" s="68" t="s">
        <v>12</v>
      </c>
      <c r="Y9" s="69"/>
      <c r="Z9" s="68" t="s">
        <v>13</v>
      </c>
      <c r="AA9" s="69"/>
      <c r="AB9" s="68" t="s">
        <v>14</v>
      </c>
      <c r="AC9" s="69"/>
      <c r="AD9" s="68" t="s">
        <v>8</v>
      </c>
      <c r="AE9" s="69"/>
      <c r="AF9" s="68" t="s">
        <v>9</v>
      </c>
      <c r="AG9" s="69"/>
      <c r="AH9" s="68" t="s">
        <v>10</v>
      </c>
      <c r="AI9" s="69"/>
      <c r="AJ9" s="68" t="s">
        <v>11</v>
      </c>
      <c r="AK9" s="69"/>
      <c r="AL9" s="68" t="s">
        <v>12</v>
      </c>
      <c r="AM9" s="69"/>
      <c r="AN9" s="68" t="s">
        <v>13</v>
      </c>
      <c r="AO9" s="69"/>
      <c r="AP9" s="68" t="s">
        <v>14</v>
      </c>
      <c r="AQ9" s="69"/>
      <c r="AR9" s="68" t="s">
        <v>8</v>
      </c>
      <c r="AS9" s="69"/>
      <c r="AT9" s="68" t="s">
        <v>9</v>
      </c>
      <c r="AU9" s="69"/>
      <c r="AV9" s="68" t="s">
        <v>10</v>
      </c>
      <c r="AW9" s="69"/>
      <c r="AX9" s="68" t="s">
        <v>11</v>
      </c>
      <c r="AY9" s="69"/>
      <c r="AZ9" s="68" t="s">
        <v>12</v>
      </c>
      <c r="BA9" s="69"/>
      <c r="BB9" s="68" t="s">
        <v>13</v>
      </c>
      <c r="BC9" s="69"/>
      <c r="BD9" s="68" t="s">
        <v>14</v>
      </c>
      <c r="BE9" s="69"/>
      <c r="BF9" s="68" t="s">
        <v>8</v>
      </c>
      <c r="BG9" s="69"/>
      <c r="BH9" s="68" t="s">
        <v>9</v>
      </c>
      <c r="BI9" s="69"/>
      <c r="BJ9" s="68" t="s">
        <v>10</v>
      </c>
      <c r="BK9" s="69"/>
      <c r="BL9" s="68" t="s">
        <v>11</v>
      </c>
      <c r="BM9" s="69"/>
      <c r="BN9" s="68" t="s">
        <v>12</v>
      </c>
      <c r="BO9" s="69"/>
      <c r="BP9" s="79"/>
      <c r="BQ9" s="80"/>
      <c r="BR9" s="80"/>
      <c r="BS9" s="81"/>
      <c r="BT9" s="74"/>
      <c r="BU9" s="91"/>
    </row>
    <row r="10" spans="1:73" s="11" customFormat="1" ht="42" customHeight="1">
      <c r="A10" s="85"/>
      <c r="B10" s="85"/>
      <c r="C10" s="65"/>
      <c r="D10" s="65"/>
      <c r="E10" s="88"/>
      <c r="F10" s="13"/>
      <c r="G10" s="13"/>
      <c r="H10" s="13"/>
      <c r="I10" s="13"/>
      <c r="J10" s="13"/>
      <c r="K10" s="13"/>
      <c r="L10" s="13" t="s">
        <v>18</v>
      </c>
      <c r="M10" s="13" t="s">
        <v>19</v>
      </c>
      <c r="N10" s="47" t="s">
        <v>20</v>
      </c>
      <c r="O10" s="47" t="s">
        <v>21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13" t="s">
        <v>18</v>
      </c>
      <c r="W10" s="13" t="s">
        <v>19</v>
      </c>
      <c r="X10" s="13" t="s">
        <v>18</v>
      </c>
      <c r="Y10" s="13" t="s">
        <v>19</v>
      </c>
      <c r="Z10" s="13" t="s">
        <v>18</v>
      </c>
      <c r="AA10" s="13" t="s">
        <v>19</v>
      </c>
      <c r="AB10" s="47" t="s">
        <v>20</v>
      </c>
      <c r="AC10" s="47" t="s">
        <v>21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13" t="s">
        <v>18</v>
      </c>
      <c r="AK10" s="13" t="s">
        <v>19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47" t="s">
        <v>20</v>
      </c>
      <c r="AQ10" s="47" t="s">
        <v>21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13" t="s">
        <v>18</v>
      </c>
      <c r="AY10" s="13" t="s">
        <v>19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47" t="s">
        <v>20</v>
      </c>
      <c r="BE10" s="47" t="s">
        <v>21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 t="s">
        <v>18</v>
      </c>
      <c r="BK10" s="13" t="s">
        <v>19</v>
      </c>
      <c r="BL10" s="13" t="s">
        <v>18</v>
      </c>
      <c r="BM10" s="13" t="s">
        <v>19</v>
      </c>
      <c r="BN10" s="13" t="s">
        <v>18</v>
      </c>
      <c r="BO10" s="13" t="s">
        <v>19</v>
      </c>
      <c r="BP10" s="13" t="s">
        <v>18</v>
      </c>
      <c r="BQ10" s="13" t="s">
        <v>19</v>
      </c>
      <c r="BR10" s="14" t="s">
        <v>20</v>
      </c>
      <c r="BS10" s="14" t="s">
        <v>21</v>
      </c>
      <c r="BT10" s="75"/>
      <c r="BU10" s="92"/>
    </row>
    <row r="11" spans="1:73" s="18" customFormat="1" ht="29.55" customHeight="1">
      <c r="A11" s="45" t="s">
        <v>26</v>
      </c>
      <c r="B11" s="96" t="s">
        <v>78</v>
      </c>
      <c r="C11" s="16" t="s">
        <v>60</v>
      </c>
      <c r="D11" s="40" t="s">
        <v>61</v>
      </c>
      <c r="E11" s="54">
        <v>800000</v>
      </c>
      <c r="F11" s="29"/>
      <c r="G11" s="29"/>
      <c r="H11" s="29"/>
      <c r="I11" s="29"/>
      <c r="J11" s="29"/>
      <c r="K11" s="29"/>
      <c r="L11" s="29">
        <v>8</v>
      </c>
      <c r="M11" s="29"/>
      <c r="N11" s="49"/>
      <c r="O11" s="49"/>
      <c r="P11" s="29">
        <v>8</v>
      </c>
      <c r="Q11" s="29"/>
      <c r="R11" s="29">
        <v>8</v>
      </c>
      <c r="S11" s="29"/>
      <c r="T11" s="29"/>
      <c r="U11" s="29"/>
      <c r="V11" s="29">
        <v>8</v>
      </c>
      <c r="W11" s="29"/>
      <c r="X11" s="29">
        <v>8</v>
      </c>
      <c r="Y11" s="29"/>
      <c r="Z11" s="29"/>
      <c r="AA11" s="29"/>
      <c r="AB11" s="49"/>
      <c r="AC11" s="4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49"/>
      <c r="AQ11" s="4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49"/>
      <c r="BE11" s="4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7">
        <f>SUMIF($F$10:$BO$10,"HC",F11:BO11)</f>
        <v>40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/>
    </row>
    <row r="12" spans="1:73" s="18" customFormat="1" ht="29.55" customHeight="1">
      <c r="A12" s="45" t="s">
        <v>27</v>
      </c>
      <c r="B12" s="96" t="s">
        <v>93</v>
      </c>
      <c r="C12" s="16" t="s">
        <v>94</v>
      </c>
      <c r="D12" s="50" t="s">
        <v>96</v>
      </c>
      <c r="E12" s="54">
        <v>800000</v>
      </c>
      <c r="F12" s="29"/>
      <c r="G12" s="29"/>
      <c r="H12" s="29"/>
      <c r="I12" s="29"/>
      <c r="J12" s="29"/>
      <c r="K12" s="29"/>
      <c r="L12" s="29"/>
      <c r="M12" s="29"/>
      <c r="N12" s="49"/>
      <c r="O12" s="49"/>
      <c r="P12" s="29"/>
      <c r="Q12" s="29"/>
      <c r="R12" s="29"/>
      <c r="S12" s="29"/>
      <c r="T12" s="29"/>
      <c r="U12" s="29"/>
      <c r="V12" s="29"/>
      <c r="W12" s="29"/>
      <c r="X12" s="29">
        <v>8</v>
      </c>
      <c r="Y12" s="29"/>
      <c r="Z12" s="29"/>
      <c r="AA12" s="29"/>
      <c r="AB12" s="49"/>
      <c r="AC12" s="4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49"/>
      <c r="AQ12" s="4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49"/>
      <c r="BE12" s="4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8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/>
    </row>
    <row r="13" spans="1:73" s="18" customFormat="1" ht="29.55" customHeight="1">
      <c r="A13" s="45" t="s">
        <v>28</v>
      </c>
      <c r="B13" s="15"/>
      <c r="C13" s="16"/>
      <c r="D13" s="50"/>
      <c r="E13" s="54"/>
      <c r="F13" s="29"/>
      <c r="G13" s="29"/>
      <c r="H13" s="29"/>
      <c r="I13" s="29"/>
      <c r="J13" s="29"/>
      <c r="K13" s="29"/>
      <c r="L13" s="29"/>
      <c r="M13" s="29"/>
      <c r="N13" s="49"/>
      <c r="O13" s="4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49"/>
      <c r="AC13" s="4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49"/>
      <c r="AQ13" s="4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49"/>
      <c r="BE13" s="4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0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/>
    </row>
    <row r="14" spans="1:73" s="18" customFormat="1" ht="29.55" customHeight="1">
      <c r="A14" s="45" t="s">
        <v>29</v>
      </c>
      <c r="B14" s="15"/>
      <c r="C14" s="16"/>
      <c r="D14" s="50"/>
      <c r="E14" s="54"/>
      <c r="F14" s="29"/>
      <c r="G14" s="29"/>
      <c r="H14" s="29"/>
      <c r="I14" s="29"/>
      <c r="J14" s="29"/>
      <c r="K14" s="29"/>
      <c r="L14" s="29"/>
      <c r="M14" s="29"/>
      <c r="N14" s="49"/>
      <c r="O14" s="4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49"/>
      <c r="AC14" s="4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49"/>
      <c r="AQ14" s="4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49"/>
      <c r="BE14" s="4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0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/>
    </row>
    <row r="15" spans="1:73" s="18" customFormat="1" ht="29.55" customHeight="1">
      <c r="A15" s="45" t="s">
        <v>30</v>
      </c>
      <c r="B15" s="15"/>
      <c r="C15" s="16"/>
      <c r="D15" s="50"/>
      <c r="E15" s="54"/>
      <c r="F15" s="29"/>
      <c r="G15" s="29"/>
      <c r="H15" s="29"/>
      <c r="I15" s="29"/>
      <c r="J15" s="29"/>
      <c r="K15" s="29"/>
      <c r="L15" s="29"/>
      <c r="M15" s="29"/>
      <c r="N15" s="49"/>
      <c r="O15" s="4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49"/>
      <c r="AC15" s="4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49"/>
      <c r="AQ15" s="4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49"/>
      <c r="BE15" s="4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0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/>
    </row>
    <row r="16" spans="1:73" s="18" customFormat="1" ht="29.55" customHeight="1">
      <c r="A16" s="45" t="s">
        <v>31</v>
      </c>
      <c r="B16" s="15"/>
      <c r="C16" s="16"/>
      <c r="D16" s="50"/>
      <c r="E16" s="54"/>
      <c r="F16" s="29"/>
      <c r="G16" s="29"/>
      <c r="H16" s="29"/>
      <c r="I16" s="29"/>
      <c r="J16" s="29"/>
      <c r="K16" s="29"/>
      <c r="L16" s="29"/>
      <c r="M16" s="29"/>
      <c r="N16" s="49"/>
      <c r="O16" s="4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49"/>
      <c r="AC16" s="4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49"/>
      <c r="AQ16" s="4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49"/>
      <c r="BE16" s="4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0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/>
    </row>
    <row r="17" spans="1:73" s="18" customFormat="1" ht="29.55" customHeight="1">
      <c r="A17" s="45" t="s">
        <v>32</v>
      </c>
      <c r="B17" s="15"/>
      <c r="C17" s="16"/>
      <c r="D17" s="50"/>
      <c r="E17" s="54"/>
      <c r="F17" s="29"/>
      <c r="G17" s="29"/>
      <c r="H17" s="29"/>
      <c r="I17" s="29"/>
      <c r="J17" s="29"/>
      <c r="K17" s="29"/>
      <c r="L17" s="29"/>
      <c r="M17" s="29"/>
      <c r="N17" s="49"/>
      <c r="O17" s="4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49"/>
      <c r="AC17" s="4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9"/>
      <c r="AQ17" s="4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49"/>
      <c r="BE17" s="4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/>
    </row>
    <row r="18" spans="1:73" s="18" customFormat="1" ht="29.4" customHeight="1">
      <c r="A18" s="45" t="s">
        <v>35</v>
      </c>
      <c r="B18" s="15"/>
      <c r="C18" s="16"/>
      <c r="D18" s="50"/>
      <c r="E18" s="54"/>
      <c r="F18" s="29"/>
      <c r="G18" s="29"/>
      <c r="H18" s="29"/>
      <c r="I18" s="29"/>
      <c r="J18" s="29"/>
      <c r="K18" s="29"/>
      <c r="L18" s="29"/>
      <c r="M18" s="29"/>
      <c r="N18" s="49"/>
      <c r="O18" s="4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49"/>
      <c r="AC18" s="4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49"/>
      <c r="AQ18" s="4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49"/>
      <c r="BE18" s="4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45" t="s">
        <v>36</v>
      </c>
      <c r="B19" s="15"/>
      <c r="C19" s="16"/>
      <c r="D19" s="50"/>
      <c r="E19" s="54"/>
      <c r="F19" s="29"/>
      <c r="G19" s="29"/>
      <c r="H19" s="29"/>
      <c r="I19" s="29"/>
      <c r="J19" s="29"/>
      <c r="K19" s="29"/>
      <c r="L19" s="29"/>
      <c r="M19" s="29"/>
      <c r="N19" s="49"/>
      <c r="O19" s="4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49"/>
      <c r="AC19" s="4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9"/>
      <c r="AQ19" s="4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49"/>
      <c r="BE19" s="4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45" t="s">
        <v>37</v>
      </c>
      <c r="B20" s="15"/>
      <c r="C20" s="16"/>
      <c r="D20" s="50"/>
      <c r="E20" s="54"/>
      <c r="F20" s="29"/>
      <c r="G20" s="29"/>
      <c r="H20" s="29"/>
      <c r="I20" s="29"/>
      <c r="J20" s="29"/>
      <c r="K20" s="29"/>
      <c r="L20" s="29"/>
      <c r="M20" s="29"/>
      <c r="N20" s="49"/>
      <c r="O20" s="4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49"/>
      <c r="AC20" s="4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49"/>
      <c r="AQ20" s="4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49"/>
      <c r="BE20" s="4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45" t="s">
        <v>38</v>
      </c>
      <c r="B21" s="15"/>
      <c r="C21" s="16"/>
      <c r="D21" s="50"/>
      <c r="E21" s="54"/>
      <c r="F21" s="29"/>
      <c r="G21" s="29"/>
      <c r="H21" s="29"/>
      <c r="I21" s="29"/>
      <c r="J21" s="29"/>
      <c r="K21" s="29"/>
      <c r="L21" s="29"/>
      <c r="M21" s="29"/>
      <c r="N21" s="49"/>
      <c r="O21" s="4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49"/>
      <c r="AC21" s="4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9"/>
      <c r="AQ21" s="4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49"/>
      <c r="BE21" s="4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45" t="s">
        <v>39</v>
      </c>
      <c r="B22" s="15"/>
      <c r="C22" s="16"/>
      <c r="D22" s="50"/>
      <c r="E22" s="54"/>
      <c r="F22" s="29"/>
      <c r="G22" s="29"/>
      <c r="H22" s="29"/>
      <c r="I22" s="29"/>
      <c r="J22" s="29"/>
      <c r="K22" s="29"/>
      <c r="L22" s="29"/>
      <c r="M22" s="29"/>
      <c r="N22" s="49"/>
      <c r="O22" s="4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49"/>
      <c r="AC22" s="4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49"/>
      <c r="AQ22" s="4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49"/>
      <c r="BE22" s="4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45" t="s">
        <v>40</v>
      </c>
      <c r="B23" s="15"/>
      <c r="C23" s="16"/>
      <c r="D23" s="50"/>
      <c r="E23" s="54"/>
      <c r="F23" s="29"/>
      <c r="G23" s="29"/>
      <c r="H23" s="29"/>
      <c r="I23" s="29"/>
      <c r="J23" s="29"/>
      <c r="K23" s="29"/>
      <c r="L23" s="29"/>
      <c r="M23" s="29"/>
      <c r="N23" s="49"/>
      <c r="O23" s="4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49"/>
      <c r="AC23" s="4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49"/>
      <c r="AQ23" s="4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49"/>
      <c r="BE23" s="4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45" t="s">
        <v>41</v>
      </c>
      <c r="B24" s="15"/>
      <c r="C24" s="16"/>
      <c r="D24" s="50"/>
      <c r="E24" s="54"/>
      <c r="F24" s="29"/>
      <c r="G24" s="29"/>
      <c r="H24" s="29"/>
      <c r="I24" s="29"/>
      <c r="J24" s="29"/>
      <c r="K24" s="29"/>
      <c r="L24" s="29"/>
      <c r="M24" s="29"/>
      <c r="N24" s="49"/>
      <c r="O24" s="4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49"/>
      <c r="AC24" s="4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49"/>
      <c r="AQ24" s="4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49"/>
      <c r="BE24" s="4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8"/>
      <c r="B25" s="38"/>
      <c r="C25" s="39"/>
      <c r="D25" s="39"/>
      <c r="E25" s="54"/>
      <c r="F25" s="29"/>
      <c r="G25" s="29"/>
      <c r="H25" s="29"/>
      <c r="I25" s="29"/>
      <c r="J25" s="29"/>
      <c r="K25" s="29"/>
      <c r="L25" s="29"/>
      <c r="M25" s="29"/>
      <c r="N25" s="49"/>
      <c r="O25" s="4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49"/>
      <c r="AC25" s="4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49"/>
      <c r="AQ25" s="4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49"/>
      <c r="BE25" s="4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70" t="s">
        <v>4</v>
      </c>
      <c r="B26" s="71"/>
      <c r="C26" s="71"/>
      <c r="D26" s="71"/>
      <c r="E26" s="7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48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46"/>
      <c r="B27" s="22"/>
      <c r="C27" s="22"/>
      <c r="D27" s="22"/>
      <c r="E27" s="55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52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56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57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57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57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8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73">
    <mergeCell ref="A26:E26"/>
    <mergeCell ref="AV9:AW9"/>
    <mergeCell ref="AX9:AY9"/>
    <mergeCell ref="AZ9:BA9"/>
    <mergeCell ref="BB9:BC9"/>
    <mergeCell ref="BD9:BE9"/>
    <mergeCell ref="BF9:BG9"/>
    <mergeCell ref="AJ9:AK9"/>
    <mergeCell ref="AL9:AM9"/>
    <mergeCell ref="AN9:AO9"/>
    <mergeCell ref="AP9:AQ9"/>
    <mergeCell ref="AR9:AS9"/>
    <mergeCell ref="AT9:AU9"/>
    <mergeCell ref="X9:Y9"/>
    <mergeCell ref="Z9:AA9"/>
    <mergeCell ref="AB9:AC9"/>
    <mergeCell ref="AD9:AE9"/>
    <mergeCell ref="AF9:AG9"/>
    <mergeCell ref="AH9:AI9"/>
    <mergeCell ref="BU8:BU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BH8:BI8"/>
    <mergeCell ref="BJ8:BK8"/>
    <mergeCell ref="BL8:BM8"/>
    <mergeCell ref="BN8:BO8"/>
    <mergeCell ref="BP8:BS9"/>
    <mergeCell ref="BT8:BT10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AJ8:AK8"/>
    <mergeCell ref="AL8:AM8"/>
    <mergeCell ref="AN8:AO8"/>
    <mergeCell ref="AP8:AQ8"/>
    <mergeCell ref="AR8:AS8"/>
    <mergeCell ref="AT8:AU8"/>
    <mergeCell ref="X8:Y8"/>
    <mergeCell ref="Z8:AA8"/>
    <mergeCell ref="AB8:AC8"/>
    <mergeCell ref="AD8:AE8"/>
    <mergeCell ref="AF8:AG8"/>
    <mergeCell ref="AH8:AI8"/>
    <mergeCell ref="L8:M8"/>
    <mergeCell ref="N8:O8"/>
    <mergeCell ref="P8:Q8"/>
    <mergeCell ref="R8:S8"/>
    <mergeCell ref="T8:U8"/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</mergeCells>
  <conditionalFormatting sqref="B1:B10 B13:B1048576">
    <cfRule type="duplicateValues" dxfId="26" priority="1"/>
  </conditionalFormatting>
  <conditionalFormatting sqref="F8:F9 H8:H9 J8:J9 L8:L9 N8:N9 P8:P9 R8:R9 T8:T9 V8:V9 X8:X9 Z8:Z9 AB8:AB9 AD8:AD9 AF8:AF9 AH8:AH9 AJ8:AJ9 AL8:AL9 AN8:AN9 AP8:AP9 AR8:AR9 AT8:AT9 AV8:AV9 AX8:AX9 AZ8:AZ9 BB8:BB9 BD8:BD9 BF8:BF9 BH8:BH9 BJ8:BJ9 BL8:BL9 BN8:BN9">
    <cfRule type="expression" dxfId="24" priority="4">
      <formula>IF(OR(H$10="CN",H$10="OT CN"),1,0)</formula>
    </cfRule>
  </conditionalFormatting>
  <conditionalFormatting sqref="F11:BO27">
    <cfRule type="expression" dxfId="23" priority="2">
      <formula>IF(OR(F$10="CN",F$10="OT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41F88B3B-970D-47AC-8A68-4421236DE73E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C11 B13:D25 C12:D12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D862-B9B5-4691-B588-E032FCB2ED49}">
  <dimension ref="A1:BU33"/>
  <sheetViews>
    <sheetView topLeftCell="A3" zoomScale="70" zoomScaleNormal="70" workbookViewId="0">
      <selection activeCell="Z13" sqref="Z13"/>
    </sheetView>
  </sheetViews>
  <sheetFormatPr defaultColWidth="14.33203125" defaultRowHeight="15"/>
  <cols>
    <col min="1" max="1" width="12.44140625" style="42" customWidth="1"/>
    <col min="2" max="2" width="18.33203125" style="8" customWidth="1"/>
    <col min="3" max="3" width="29.109375" style="1" customWidth="1"/>
    <col min="4" max="4" width="20" style="1" customWidth="1"/>
    <col min="5" max="5" width="12.21875" style="59" customWidth="1"/>
    <col min="6" max="32" width="6.44140625" style="1" customWidth="1"/>
    <col min="33" max="33" width="10" style="1" customWidth="1"/>
    <col min="34" max="65" width="6.44140625" style="1" customWidth="1"/>
    <col min="66" max="67" width="8.44140625" style="1" customWidth="1"/>
    <col min="68" max="72" width="9.21875" style="1" customWidth="1"/>
    <col min="73" max="73" width="32.88671875" style="1" customWidth="1"/>
    <col min="74" max="16384" width="14.33203125" style="1"/>
  </cols>
  <sheetData>
    <row r="1" spans="1:73">
      <c r="A1" s="41"/>
      <c r="E1" s="51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73">
      <c r="E2" s="51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73">
      <c r="E3" s="51" t="s">
        <v>3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3"/>
      <c r="S3" s="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73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5"/>
    </row>
    <row r="5" spans="1:73" ht="29.4">
      <c r="A5" s="89" t="s">
        <v>43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</row>
    <row r="6" spans="1:73">
      <c r="A6" s="43"/>
      <c r="B6" s="3"/>
      <c r="C6" s="3"/>
      <c r="D6" s="3"/>
      <c r="E6" s="5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73">
      <c r="A7" s="44"/>
      <c r="B7" s="6"/>
      <c r="C7" s="5"/>
      <c r="D7" s="5"/>
      <c r="E7" s="5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73" s="11" customFormat="1" ht="15.6">
      <c r="A8" s="83" t="s">
        <v>0</v>
      </c>
      <c r="B8" s="83" t="s">
        <v>5</v>
      </c>
      <c r="C8" s="63" t="s">
        <v>6</v>
      </c>
      <c r="D8" s="63" t="s">
        <v>45</v>
      </c>
      <c r="E8" s="86" t="s">
        <v>47</v>
      </c>
      <c r="F8" s="66">
        <v>1</v>
      </c>
      <c r="G8" s="67"/>
      <c r="H8" s="66">
        <v>2</v>
      </c>
      <c r="I8" s="67"/>
      <c r="J8" s="66">
        <v>3</v>
      </c>
      <c r="K8" s="67"/>
      <c r="L8" s="66">
        <v>4</v>
      </c>
      <c r="M8" s="67"/>
      <c r="N8" s="66">
        <v>5</v>
      </c>
      <c r="O8" s="67"/>
      <c r="P8" s="66">
        <v>6</v>
      </c>
      <c r="Q8" s="67"/>
      <c r="R8" s="66">
        <v>7</v>
      </c>
      <c r="S8" s="67"/>
      <c r="T8" s="66">
        <v>8</v>
      </c>
      <c r="U8" s="67"/>
      <c r="V8" s="66">
        <v>9</v>
      </c>
      <c r="W8" s="67"/>
      <c r="X8" s="66">
        <v>10</v>
      </c>
      <c r="Y8" s="67"/>
      <c r="Z8" s="66">
        <v>11</v>
      </c>
      <c r="AA8" s="67"/>
      <c r="AB8" s="66">
        <v>12</v>
      </c>
      <c r="AC8" s="67"/>
      <c r="AD8" s="66">
        <v>13</v>
      </c>
      <c r="AE8" s="67"/>
      <c r="AF8" s="66">
        <v>14</v>
      </c>
      <c r="AG8" s="67"/>
      <c r="AH8" s="66">
        <v>15</v>
      </c>
      <c r="AI8" s="67"/>
      <c r="AJ8" s="66">
        <v>16</v>
      </c>
      <c r="AK8" s="67"/>
      <c r="AL8" s="66">
        <v>17</v>
      </c>
      <c r="AM8" s="67"/>
      <c r="AN8" s="66">
        <v>18</v>
      </c>
      <c r="AO8" s="67"/>
      <c r="AP8" s="66">
        <v>19</v>
      </c>
      <c r="AQ8" s="67"/>
      <c r="AR8" s="66">
        <v>20</v>
      </c>
      <c r="AS8" s="67"/>
      <c r="AT8" s="66">
        <v>21</v>
      </c>
      <c r="AU8" s="67"/>
      <c r="AV8" s="66">
        <v>22</v>
      </c>
      <c r="AW8" s="67"/>
      <c r="AX8" s="66">
        <v>23</v>
      </c>
      <c r="AY8" s="67"/>
      <c r="AZ8" s="66">
        <v>24</v>
      </c>
      <c r="BA8" s="67"/>
      <c r="BB8" s="66">
        <v>25</v>
      </c>
      <c r="BC8" s="67"/>
      <c r="BD8" s="66">
        <v>26</v>
      </c>
      <c r="BE8" s="67"/>
      <c r="BF8" s="66">
        <v>27</v>
      </c>
      <c r="BG8" s="67"/>
      <c r="BH8" s="66">
        <v>28</v>
      </c>
      <c r="BI8" s="67"/>
      <c r="BJ8" s="66">
        <v>29</v>
      </c>
      <c r="BK8" s="67"/>
      <c r="BL8" s="66">
        <v>30</v>
      </c>
      <c r="BM8" s="67"/>
      <c r="BN8" s="66">
        <v>31</v>
      </c>
      <c r="BO8" s="67"/>
      <c r="BP8" s="76" t="s">
        <v>7</v>
      </c>
      <c r="BQ8" s="77"/>
      <c r="BR8" s="77"/>
      <c r="BS8" s="78"/>
      <c r="BT8" s="73" t="s">
        <v>23</v>
      </c>
      <c r="BU8" s="90" t="s">
        <v>17</v>
      </c>
    </row>
    <row r="9" spans="1:73" s="11" customFormat="1" ht="26.55" customHeight="1">
      <c r="A9" s="84"/>
      <c r="B9" s="84"/>
      <c r="C9" s="64"/>
      <c r="D9" s="64"/>
      <c r="E9" s="87"/>
      <c r="F9" s="61" t="s">
        <v>13</v>
      </c>
      <c r="G9" s="62"/>
      <c r="H9" s="61" t="s">
        <v>14</v>
      </c>
      <c r="I9" s="62"/>
      <c r="J9" s="61" t="s">
        <v>8</v>
      </c>
      <c r="K9" s="62"/>
      <c r="L9" s="61" t="s">
        <v>9</v>
      </c>
      <c r="M9" s="62"/>
      <c r="N9" s="61" t="s">
        <v>10</v>
      </c>
      <c r="O9" s="62"/>
      <c r="P9" s="61" t="s">
        <v>11</v>
      </c>
      <c r="Q9" s="62"/>
      <c r="R9" s="61" t="s">
        <v>12</v>
      </c>
      <c r="S9" s="62"/>
      <c r="T9" s="61" t="s">
        <v>13</v>
      </c>
      <c r="U9" s="62"/>
      <c r="V9" s="61" t="s">
        <v>14</v>
      </c>
      <c r="W9" s="62"/>
      <c r="X9" s="61" t="s">
        <v>8</v>
      </c>
      <c r="Y9" s="62"/>
      <c r="Z9" s="61" t="s">
        <v>9</v>
      </c>
      <c r="AA9" s="62"/>
      <c r="AB9" s="61" t="s">
        <v>10</v>
      </c>
      <c r="AC9" s="62"/>
      <c r="AD9" s="61" t="s">
        <v>11</v>
      </c>
      <c r="AE9" s="62"/>
      <c r="AF9" s="61" t="s">
        <v>12</v>
      </c>
      <c r="AG9" s="62"/>
      <c r="AH9" s="61" t="s">
        <v>13</v>
      </c>
      <c r="AI9" s="62"/>
      <c r="AJ9" s="61" t="s">
        <v>14</v>
      </c>
      <c r="AK9" s="62"/>
      <c r="AL9" s="61" t="s">
        <v>8</v>
      </c>
      <c r="AM9" s="62"/>
      <c r="AN9" s="61" t="s">
        <v>9</v>
      </c>
      <c r="AO9" s="62"/>
      <c r="AP9" s="61" t="s">
        <v>10</v>
      </c>
      <c r="AQ9" s="62"/>
      <c r="AR9" s="61" t="s">
        <v>11</v>
      </c>
      <c r="AS9" s="62"/>
      <c r="AT9" s="61" t="s">
        <v>12</v>
      </c>
      <c r="AU9" s="62"/>
      <c r="AV9" s="61" t="s">
        <v>13</v>
      </c>
      <c r="AW9" s="62"/>
      <c r="AX9" s="61" t="s">
        <v>14</v>
      </c>
      <c r="AY9" s="62"/>
      <c r="AZ9" s="61" t="s">
        <v>8</v>
      </c>
      <c r="BA9" s="62"/>
      <c r="BB9" s="61" t="s">
        <v>9</v>
      </c>
      <c r="BC9" s="62"/>
      <c r="BD9" s="68" t="s">
        <v>10</v>
      </c>
      <c r="BE9" s="69"/>
      <c r="BF9" s="68" t="s">
        <v>11</v>
      </c>
      <c r="BG9" s="69"/>
      <c r="BH9" s="68" t="s">
        <v>12</v>
      </c>
      <c r="BI9" s="69"/>
      <c r="BJ9" s="68"/>
      <c r="BK9" s="69"/>
      <c r="BL9" s="68"/>
      <c r="BM9" s="69"/>
      <c r="BN9" s="68"/>
      <c r="BO9" s="69"/>
      <c r="BP9" s="79"/>
      <c r="BQ9" s="80"/>
      <c r="BR9" s="80"/>
      <c r="BS9" s="81"/>
      <c r="BT9" s="74"/>
      <c r="BU9" s="91"/>
    </row>
    <row r="10" spans="1:73" s="11" customFormat="1" ht="42" customHeight="1">
      <c r="A10" s="85"/>
      <c r="B10" s="85"/>
      <c r="C10" s="65"/>
      <c r="D10" s="65"/>
      <c r="E10" s="88"/>
      <c r="F10" s="13" t="s">
        <v>18</v>
      </c>
      <c r="G10" s="13" t="s">
        <v>19</v>
      </c>
      <c r="H10" s="47" t="s">
        <v>20</v>
      </c>
      <c r="I10" s="47" t="s">
        <v>21</v>
      </c>
      <c r="J10" s="13" t="s">
        <v>18</v>
      </c>
      <c r="K10" s="13" t="s">
        <v>19</v>
      </c>
      <c r="L10" s="13" t="s">
        <v>18</v>
      </c>
      <c r="M10" s="13" t="s">
        <v>19</v>
      </c>
      <c r="N10" s="13" t="s">
        <v>18</v>
      </c>
      <c r="O10" s="13" t="s">
        <v>19</v>
      </c>
      <c r="P10" s="13" t="s">
        <v>18</v>
      </c>
      <c r="Q10" s="13" t="s">
        <v>19</v>
      </c>
      <c r="R10" s="13" t="s">
        <v>18</v>
      </c>
      <c r="S10" s="13" t="s">
        <v>19</v>
      </c>
      <c r="T10" s="13" t="s">
        <v>18</v>
      </c>
      <c r="U10" s="13" t="s">
        <v>19</v>
      </c>
      <c r="V10" s="47" t="s">
        <v>20</v>
      </c>
      <c r="W10" s="47" t="s">
        <v>21</v>
      </c>
      <c r="X10" s="13" t="s">
        <v>18</v>
      </c>
      <c r="Y10" s="13" t="s">
        <v>19</v>
      </c>
      <c r="Z10" s="13" t="s">
        <v>18</v>
      </c>
      <c r="AA10" s="13" t="s">
        <v>19</v>
      </c>
      <c r="AB10" s="13" t="s">
        <v>18</v>
      </c>
      <c r="AC10" s="13" t="s">
        <v>19</v>
      </c>
      <c r="AD10" s="13" t="s">
        <v>18</v>
      </c>
      <c r="AE10" s="13" t="s">
        <v>19</v>
      </c>
      <c r="AF10" s="13" t="s">
        <v>18</v>
      </c>
      <c r="AG10" s="13" t="s">
        <v>19</v>
      </c>
      <c r="AH10" s="13" t="s">
        <v>18</v>
      </c>
      <c r="AI10" s="13" t="s">
        <v>19</v>
      </c>
      <c r="AJ10" s="47" t="s">
        <v>20</v>
      </c>
      <c r="AK10" s="47" t="s">
        <v>21</v>
      </c>
      <c r="AL10" s="13" t="s">
        <v>18</v>
      </c>
      <c r="AM10" s="13" t="s">
        <v>19</v>
      </c>
      <c r="AN10" s="13" t="s">
        <v>18</v>
      </c>
      <c r="AO10" s="13" t="s">
        <v>19</v>
      </c>
      <c r="AP10" s="13" t="s">
        <v>18</v>
      </c>
      <c r="AQ10" s="13" t="s">
        <v>19</v>
      </c>
      <c r="AR10" s="13" t="s">
        <v>18</v>
      </c>
      <c r="AS10" s="13" t="s">
        <v>19</v>
      </c>
      <c r="AT10" s="13" t="s">
        <v>18</v>
      </c>
      <c r="AU10" s="13" t="s">
        <v>19</v>
      </c>
      <c r="AV10" s="13" t="s">
        <v>18</v>
      </c>
      <c r="AW10" s="13" t="s">
        <v>19</v>
      </c>
      <c r="AX10" s="47" t="s">
        <v>20</v>
      </c>
      <c r="AY10" s="47" t="s">
        <v>21</v>
      </c>
      <c r="AZ10" s="13" t="s">
        <v>18</v>
      </c>
      <c r="BA10" s="13" t="s">
        <v>19</v>
      </c>
      <c r="BB10" s="13" t="s">
        <v>18</v>
      </c>
      <c r="BC10" s="13" t="s">
        <v>19</v>
      </c>
      <c r="BD10" s="13" t="s">
        <v>18</v>
      </c>
      <c r="BE10" s="13" t="s">
        <v>19</v>
      </c>
      <c r="BF10" s="13" t="s">
        <v>18</v>
      </c>
      <c r="BG10" s="13" t="s">
        <v>19</v>
      </c>
      <c r="BH10" s="13" t="s">
        <v>18</v>
      </c>
      <c r="BI10" s="13" t="s">
        <v>19</v>
      </c>
      <c r="BJ10" s="13"/>
      <c r="BK10" s="13"/>
      <c r="BL10" s="13"/>
      <c r="BM10" s="13"/>
      <c r="BN10" s="13"/>
      <c r="BO10" s="13"/>
      <c r="BP10" s="13" t="s">
        <v>18</v>
      </c>
      <c r="BQ10" s="13" t="s">
        <v>19</v>
      </c>
      <c r="BR10" s="14" t="s">
        <v>20</v>
      </c>
      <c r="BS10" s="14" t="s">
        <v>21</v>
      </c>
      <c r="BT10" s="75"/>
      <c r="BU10" s="92"/>
    </row>
    <row r="11" spans="1:73" s="18" customFormat="1" ht="29.55" customHeight="1">
      <c r="A11" s="45" t="s">
        <v>26</v>
      </c>
      <c r="B11" s="96" t="s">
        <v>89</v>
      </c>
      <c r="C11" s="16" t="s">
        <v>90</v>
      </c>
      <c r="D11" s="40" t="s">
        <v>101</v>
      </c>
      <c r="E11" s="54">
        <v>900000</v>
      </c>
      <c r="F11" s="29"/>
      <c r="G11" s="29"/>
      <c r="H11" s="49"/>
      <c r="I11" s="49"/>
      <c r="J11" s="29"/>
      <c r="K11" s="29"/>
      <c r="L11" s="29"/>
      <c r="M11" s="29"/>
      <c r="N11" s="29">
        <v>8</v>
      </c>
      <c r="O11" s="29"/>
      <c r="P11" s="29">
        <v>8</v>
      </c>
      <c r="Q11" s="29"/>
      <c r="R11" s="29">
        <v>8</v>
      </c>
      <c r="S11" s="29"/>
      <c r="T11" s="29"/>
      <c r="U11" s="29"/>
      <c r="V11" s="49"/>
      <c r="W11" s="4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49"/>
      <c r="AK11" s="4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49"/>
      <c r="AY11" s="4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7">
        <f>SUMIF($F$10:$BO$10,"HC",F11:BO11)</f>
        <v>24</v>
      </c>
      <c r="BQ11" s="27">
        <f>SUMIF($F$10:$BO$10,"TCN",F11:BO11)</f>
        <v>0</v>
      </c>
      <c r="BR11" s="27">
        <f t="shared" ref="BR11:BR25" si="0">SUMIF($F$10:$BO$10,"NN",F11:BO11)</f>
        <v>0</v>
      </c>
      <c r="BS11" s="27">
        <f t="shared" ref="BS11:BS25" si="1">SUMIF($F$10:$BO$10,"TCNN",F11:BO11)</f>
        <v>0</v>
      </c>
      <c r="BT11" s="28"/>
      <c r="BU11" s="17"/>
    </row>
    <row r="12" spans="1:73" s="18" customFormat="1" ht="29.55" customHeight="1">
      <c r="A12" s="45" t="s">
        <v>27</v>
      </c>
      <c r="B12" s="15"/>
      <c r="C12" s="16"/>
      <c r="D12" s="50"/>
      <c r="E12" s="54"/>
      <c r="F12" s="29"/>
      <c r="G12" s="29"/>
      <c r="H12" s="49"/>
      <c r="I12" s="4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49"/>
      <c r="W12" s="4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49"/>
      <c r="AK12" s="4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49"/>
      <c r="AY12" s="4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7">
        <f>SUMIF($F$10:$BO$10,"HC",F12:BO12)</f>
        <v>0</v>
      </c>
      <c r="BQ12" s="27">
        <f>SUMIF($F$10:$BO$10,"TCN",F12:BO12)</f>
        <v>0</v>
      </c>
      <c r="BR12" s="27">
        <f t="shared" si="0"/>
        <v>0</v>
      </c>
      <c r="BS12" s="27">
        <f t="shared" si="1"/>
        <v>0</v>
      </c>
      <c r="BT12" s="28"/>
      <c r="BU12" s="17"/>
    </row>
    <row r="13" spans="1:73" s="18" customFormat="1" ht="29.55" customHeight="1">
      <c r="A13" s="45" t="s">
        <v>28</v>
      </c>
      <c r="B13" s="15"/>
      <c r="C13" s="16"/>
      <c r="D13" s="50"/>
      <c r="E13" s="54"/>
      <c r="F13" s="29"/>
      <c r="G13" s="29"/>
      <c r="H13" s="49"/>
      <c r="I13" s="4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49"/>
      <c r="W13" s="4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49"/>
      <c r="AK13" s="4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49"/>
      <c r="AY13" s="4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7">
        <f t="shared" ref="BP13:BP25" si="2">SUMIF($F$10:$BO$10,"HC",F13:BO13)</f>
        <v>0</v>
      </c>
      <c r="BQ13" s="27">
        <f t="shared" ref="BQ13:BQ25" si="3">SUMIF($F$10:$BO$10,"TCN",F13:BO13)</f>
        <v>0</v>
      </c>
      <c r="BR13" s="27">
        <f t="shared" si="0"/>
        <v>0</v>
      </c>
      <c r="BS13" s="27">
        <f t="shared" si="1"/>
        <v>0</v>
      </c>
      <c r="BT13" s="28"/>
      <c r="BU13" s="17"/>
    </row>
    <row r="14" spans="1:73" s="18" customFormat="1" ht="29.55" customHeight="1">
      <c r="A14" s="45" t="s">
        <v>29</v>
      </c>
      <c r="B14" s="15"/>
      <c r="C14" s="16"/>
      <c r="D14" s="50"/>
      <c r="E14" s="54"/>
      <c r="F14" s="29"/>
      <c r="G14" s="29"/>
      <c r="H14" s="49"/>
      <c r="I14" s="4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49"/>
      <c r="W14" s="4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49"/>
      <c r="AK14" s="4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49"/>
      <c r="AY14" s="4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7">
        <f t="shared" si="2"/>
        <v>0</v>
      </c>
      <c r="BQ14" s="27">
        <f t="shared" si="3"/>
        <v>0</v>
      </c>
      <c r="BR14" s="27">
        <f t="shared" si="0"/>
        <v>0</v>
      </c>
      <c r="BS14" s="27">
        <f t="shared" si="1"/>
        <v>0</v>
      </c>
      <c r="BT14" s="28"/>
      <c r="BU14" s="17"/>
    </row>
    <row r="15" spans="1:73" s="18" customFormat="1" ht="29.55" customHeight="1">
      <c r="A15" s="45" t="s">
        <v>30</v>
      </c>
      <c r="B15" s="15"/>
      <c r="C15" s="16"/>
      <c r="D15" s="50"/>
      <c r="E15" s="54"/>
      <c r="F15" s="29"/>
      <c r="G15" s="29"/>
      <c r="H15" s="49"/>
      <c r="I15" s="4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49"/>
      <c r="W15" s="4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49"/>
      <c r="AK15" s="4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49"/>
      <c r="AY15" s="4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7">
        <f t="shared" si="2"/>
        <v>0</v>
      </c>
      <c r="BQ15" s="27">
        <f t="shared" si="3"/>
        <v>0</v>
      </c>
      <c r="BR15" s="27">
        <f t="shared" si="0"/>
        <v>0</v>
      </c>
      <c r="BS15" s="27">
        <f t="shared" si="1"/>
        <v>0</v>
      </c>
      <c r="BT15" s="28"/>
      <c r="BU15" s="17"/>
    </row>
    <row r="16" spans="1:73" s="18" customFormat="1" ht="29.55" customHeight="1">
      <c r="A16" s="45" t="s">
        <v>31</v>
      </c>
      <c r="B16" s="15"/>
      <c r="C16" s="16"/>
      <c r="D16" s="50"/>
      <c r="E16" s="54"/>
      <c r="F16" s="29"/>
      <c r="G16" s="29"/>
      <c r="H16" s="49"/>
      <c r="I16" s="4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49"/>
      <c r="W16" s="4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49"/>
      <c r="AK16" s="4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49"/>
      <c r="AY16" s="4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7">
        <f t="shared" si="2"/>
        <v>0</v>
      </c>
      <c r="BQ16" s="27">
        <f t="shared" si="3"/>
        <v>0</v>
      </c>
      <c r="BR16" s="27">
        <f t="shared" si="0"/>
        <v>0</v>
      </c>
      <c r="BS16" s="27">
        <f t="shared" si="1"/>
        <v>0</v>
      </c>
      <c r="BT16" s="28"/>
      <c r="BU16" s="17"/>
    </row>
    <row r="17" spans="1:73" s="18" customFormat="1" ht="29.55" customHeight="1">
      <c r="A17" s="45" t="s">
        <v>32</v>
      </c>
      <c r="B17" s="15"/>
      <c r="C17" s="16"/>
      <c r="D17" s="50"/>
      <c r="E17" s="54"/>
      <c r="F17" s="29"/>
      <c r="G17" s="29"/>
      <c r="H17" s="49"/>
      <c r="I17" s="4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49"/>
      <c r="W17" s="4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49"/>
      <c r="AK17" s="4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49"/>
      <c r="AY17" s="4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7">
        <f t="shared" si="2"/>
        <v>0</v>
      </c>
      <c r="BQ17" s="27">
        <f t="shared" si="3"/>
        <v>0</v>
      </c>
      <c r="BR17" s="27">
        <f t="shared" si="0"/>
        <v>0</v>
      </c>
      <c r="BS17" s="27">
        <f t="shared" si="1"/>
        <v>0</v>
      </c>
      <c r="BT17" s="28"/>
      <c r="BU17" s="17"/>
    </row>
    <row r="18" spans="1:73" s="18" customFormat="1" ht="29.4" customHeight="1">
      <c r="A18" s="45" t="s">
        <v>35</v>
      </c>
      <c r="B18" s="15"/>
      <c r="C18" s="16"/>
      <c r="D18" s="50"/>
      <c r="E18" s="54"/>
      <c r="F18" s="29"/>
      <c r="G18" s="29"/>
      <c r="H18" s="49"/>
      <c r="I18" s="4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49"/>
      <c r="W18" s="4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49"/>
      <c r="AK18" s="4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49"/>
      <c r="AY18" s="4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7">
        <f t="shared" si="2"/>
        <v>0</v>
      </c>
      <c r="BQ18" s="27">
        <f t="shared" si="3"/>
        <v>0</v>
      </c>
      <c r="BR18" s="27">
        <f t="shared" si="0"/>
        <v>0</v>
      </c>
      <c r="BS18" s="27">
        <f t="shared" si="1"/>
        <v>0</v>
      </c>
      <c r="BT18" s="28"/>
      <c r="BU18" s="17"/>
    </row>
    <row r="19" spans="1:73" s="18" customFormat="1" ht="29.55" customHeight="1">
      <c r="A19" s="45" t="s">
        <v>36</v>
      </c>
      <c r="B19" s="15"/>
      <c r="C19" s="16"/>
      <c r="D19" s="50"/>
      <c r="E19" s="54"/>
      <c r="F19" s="29"/>
      <c r="G19" s="29"/>
      <c r="H19" s="49"/>
      <c r="I19" s="4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49"/>
      <c r="W19" s="4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49"/>
      <c r="AK19" s="4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49"/>
      <c r="AY19" s="4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7">
        <f t="shared" si="2"/>
        <v>0</v>
      </c>
      <c r="BQ19" s="27">
        <f t="shared" si="3"/>
        <v>0</v>
      </c>
      <c r="BR19" s="27">
        <f t="shared" si="0"/>
        <v>0</v>
      </c>
      <c r="BS19" s="27">
        <f t="shared" si="1"/>
        <v>0</v>
      </c>
      <c r="BT19" s="28"/>
      <c r="BU19" s="17"/>
    </row>
    <row r="20" spans="1:73" s="18" customFormat="1" ht="29.55" customHeight="1">
      <c r="A20" s="45" t="s">
        <v>37</v>
      </c>
      <c r="B20" s="15"/>
      <c r="C20" s="16"/>
      <c r="D20" s="50"/>
      <c r="E20" s="54"/>
      <c r="F20" s="29"/>
      <c r="G20" s="29"/>
      <c r="H20" s="49"/>
      <c r="I20" s="4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49"/>
      <c r="W20" s="4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49"/>
      <c r="AK20" s="4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49"/>
      <c r="AY20" s="4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7">
        <f t="shared" si="2"/>
        <v>0</v>
      </c>
      <c r="BQ20" s="27">
        <f t="shared" si="3"/>
        <v>0</v>
      </c>
      <c r="BR20" s="27">
        <f t="shared" si="0"/>
        <v>0</v>
      </c>
      <c r="BS20" s="27">
        <f t="shared" si="1"/>
        <v>0</v>
      </c>
      <c r="BT20" s="28"/>
      <c r="BU20" s="17"/>
    </row>
    <row r="21" spans="1:73" s="18" customFormat="1" ht="29.55" customHeight="1">
      <c r="A21" s="45" t="s">
        <v>38</v>
      </c>
      <c r="B21" s="15"/>
      <c r="C21" s="16"/>
      <c r="D21" s="50"/>
      <c r="E21" s="54"/>
      <c r="F21" s="29"/>
      <c r="G21" s="29"/>
      <c r="H21" s="49"/>
      <c r="I21" s="4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49"/>
      <c r="W21" s="4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49"/>
      <c r="AK21" s="4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49"/>
      <c r="AY21" s="4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7">
        <f t="shared" si="2"/>
        <v>0</v>
      </c>
      <c r="BQ21" s="27">
        <f t="shared" si="3"/>
        <v>0</v>
      </c>
      <c r="BR21" s="27">
        <f t="shared" si="0"/>
        <v>0</v>
      </c>
      <c r="BS21" s="27">
        <f t="shared" si="1"/>
        <v>0</v>
      </c>
      <c r="BT21" s="28"/>
      <c r="BU21" s="17"/>
    </row>
    <row r="22" spans="1:73" s="18" customFormat="1" ht="29.55" customHeight="1">
      <c r="A22" s="45" t="s">
        <v>39</v>
      </c>
      <c r="B22" s="15"/>
      <c r="C22" s="16"/>
      <c r="D22" s="50"/>
      <c r="E22" s="54"/>
      <c r="F22" s="29"/>
      <c r="G22" s="29"/>
      <c r="H22" s="49"/>
      <c r="I22" s="4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49"/>
      <c r="W22" s="4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49"/>
      <c r="AK22" s="4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49"/>
      <c r="AY22" s="4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7">
        <f t="shared" si="2"/>
        <v>0</v>
      </c>
      <c r="BQ22" s="27">
        <f t="shared" si="3"/>
        <v>0</v>
      </c>
      <c r="BR22" s="27">
        <f t="shared" si="0"/>
        <v>0</v>
      </c>
      <c r="BS22" s="27">
        <f t="shared" si="1"/>
        <v>0</v>
      </c>
      <c r="BT22" s="28"/>
      <c r="BU22" s="17"/>
    </row>
    <row r="23" spans="1:73" s="18" customFormat="1" ht="29.55" customHeight="1">
      <c r="A23" s="45" t="s">
        <v>40</v>
      </c>
      <c r="B23" s="15"/>
      <c r="C23" s="16"/>
      <c r="D23" s="50"/>
      <c r="E23" s="54"/>
      <c r="F23" s="29"/>
      <c r="G23" s="29"/>
      <c r="H23" s="49"/>
      <c r="I23" s="4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49"/>
      <c r="W23" s="4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49"/>
      <c r="AK23" s="4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49"/>
      <c r="AY23" s="4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7">
        <f t="shared" si="2"/>
        <v>0</v>
      </c>
      <c r="BQ23" s="27">
        <f t="shared" si="3"/>
        <v>0</v>
      </c>
      <c r="BR23" s="27">
        <f t="shared" si="0"/>
        <v>0</v>
      </c>
      <c r="BS23" s="27">
        <f t="shared" si="1"/>
        <v>0</v>
      </c>
      <c r="BT23" s="28"/>
      <c r="BU23" s="17"/>
    </row>
    <row r="24" spans="1:73" s="18" customFormat="1" ht="29.55" customHeight="1">
      <c r="A24" s="45" t="s">
        <v>41</v>
      </c>
      <c r="B24" s="15"/>
      <c r="C24" s="16"/>
      <c r="D24" s="50"/>
      <c r="E24" s="54"/>
      <c r="F24" s="29"/>
      <c r="G24" s="29"/>
      <c r="H24" s="49"/>
      <c r="I24" s="4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49"/>
      <c r="W24" s="4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49"/>
      <c r="AK24" s="4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49"/>
      <c r="AY24" s="4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7">
        <f t="shared" si="2"/>
        <v>0</v>
      </c>
      <c r="BQ24" s="27">
        <f t="shared" si="3"/>
        <v>0</v>
      </c>
      <c r="BR24" s="27">
        <f t="shared" si="0"/>
        <v>0</v>
      </c>
      <c r="BS24" s="27">
        <f t="shared" si="1"/>
        <v>0</v>
      </c>
      <c r="BT24" s="28"/>
      <c r="BU24" s="17"/>
    </row>
    <row r="25" spans="1:73" s="18" customFormat="1" ht="29.55" customHeight="1">
      <c r="A25" s="48"/>
      <c r="B25" s="38"/>
      <c r="C25" s="39"/>
      <c r="D25" s="39"/>
      <c r="E25" s="54"/>
      <c r="F25" s="29"/>
      <c r="G25" s="29"/>
      <c r="H25" s="49"/>
      <c r="I25" s="4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49"/>
      <c r="W25" s="4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49"/>
      <c r="AK25" s="4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49"/>
      <c r="AY25" s="4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7">
        <f t="shared" si="2"/>
        <v>0</v>
      </c>
      <c r="BQ25" s="27">
        <f t="shared" si="3"/>
        <v>0</v>
      </c>
      <c r="BR25" s="27">
        <f t="shared" si="0"/>
        <v>0</v>
      </c>
      <c r="BS25" s="27">
        <f t="shared" si="1"/>
        <v>0</v>
      </c>
      <c r="BT25" s="28"/>
      <c r="BU25" s="17"/>
    </row>
    <row r="26" spans="1:73" s="12" customFormat="1" ht="39.6" customHeight="1">
      <c r="A26" s="70" t="s">
        <v>4</v>
      </c>
      <c r="B26" s="71"/>
      <c r="C26" s="71"/>
      <c r="D26" s="71"/>
      <c r="E26" s="7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>
        <f>SUM(BP11:BP25)</f>
        <v>24</v>
      </c>
      <c r="BQ26" s="20">
        <f>SUM(BQ11:BQ25)</f>
        <v>0</v>
      </c>
      <c r="BR26" s="20">
        <f>SUM(BR11:BR25)</f>
        <v>0</v>
      </c>
      <c r="BS26" s="20">
        <f>SUM(BS11:BS25)</f>
        <v>0</v>
      </c>
      <c r="BT26" s="20">
        <f>SUM(BT11:BT25)</f>
        <v>0</v>
      </c>
      <c r="BU26" s="21"/>
    </row>
    <row r="27" spans="1:73" s="26" customFormat="1" ht="39.6" customHeight="1">
      <c r="A27" s="46"/>
      <c r="B27" s="22"/>
      <c r="C27" s="22"/>
      <c r="D27" s="22"/>
      <c r="E27" s="55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4"/>
      <c r="BQ27" s="24"/>
      <c r="BR27" s="24"/>
      <c r="BS27" s="24"/>
      <c r="BT27" s="24"/>
      <c r="BU27" s="25"/>
    </row>
    <row r="28" spans="1:73" ht="39.6" customHeight="1">
      <c r="E28" s="52" t="s">
        <v>15</v>
      </c>
      <c r="I28" s="5"/>
      <c r="J28" s="3"/>
      <c r="K28" s="3"/>
      <c r="L28" s="3"/>
      <c r="M28" s="3"/>
      <c r="N28" s="3"/>
      <c r="O28" s="3"/>
      <c r="P28" s="5"/>
      <c r="Q28" s="5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73" ht="39.6" customHeight="1">
      <c r="E29" s="56" t="s">
        <v>16</v>
      </c>
      <c r="I29" s="5"/>
      <c r="J29" s="3"/>
      <c r="K29" s="3"/>
      <c r="L29" s="3"/>
      <c r="M29" s="3"/>
      <c r="N29" s="3"/>
      <c r="O29" s="3"/>
      <c r="P29" s="5"/>
      <c r="Q29" s="5"/>
    </row>
    <row r="30" spans="1:73" ht="39.6" customHeight="1">
      <c r="E30" s="57"/>
      <c r="I30" s="5"/>
      <c r="J30" s="3"/>
      <c r="K30" s="3"/>
      <c r="L30" s="3"/>
      <c r="M30" s="3"/>
      <c r="N30" s="3"/>
      <c r="O30" s="3"/>
      <c r="P30" s="5"/>
      <c r="Q30" s="5"/>
    </row>
    <row r="31" spans="1:73" ht="39.6" customHeight="1">
      <c r="E31" s="57"/>
      <c r="I31" s="5"/>
      <c r="J31" s="3"/>
      <c r="K31" s="3"/>
      <c r="L31" s="3"/>
      <c r="M31" s="3"/>
      <c r="N31" s="3"/>
      <c r="O31" s="3"/>
      <c r="P31" s="5"/>
      <c r="Q31" s="5"/>
    </row>
    <row r="32" spans="1:73" ht="39.6" customHeight="1">
      <c r="E32" s="57"/>
      <c r="I32" s="5"/>
      <c r="J32" s="3"/>
      <c r="K32" s="3"/>
      <c r="L32" s="3"/>
      <c r="M32" s="3"/>
      <c r="N32" s="3"/>
      <c r="O32" s="3"/>
      <c r="P32" s="5"/>
      <c r="Q32" s="5"/>
    </row>
    <row r="33" spans="5:17" ht="39.6" customHeight="1">
      <c r="E33" s="58" t="s">
        <v>22</v>
      </c>
      <c r="I33" s="5"/>
      <c r="J33" s="3"/>
      <c r="K33" s="3"/>
      <c r="L33" s="3"/>
      <c r="M33" s="3"/>
      <c r="N33" s="3"/>
      <c r="O33" s="3"/>
      <c r="P33" s="5"/>
      <c r="Q33" s="5"/>
    </row>
  </sheetData>
  <mergeCells count="48">
    <mergeCell ref="V8:W8"/>
    <mergeCell ref="A4:BC4"/>
    <mergeCell ref="A5:BU5"/>
    <mergeCell ref="A8:A10"/>
    <mergeCell ref="B8:B10"/>
    <mergeCell ref="C8:C10"/>
    <mergeCell ref="D8:D10"/>
    <mergeCell ref="E8:E10"/>
    <mergeCell ref="F8:G8"/>
    <mergeCell ref="H8:I8"/>
    <mergeCell ref="J8:K8"/>
    <mergeCell ref="L8:M8"/>
    <mergeCell ref="N8:O8"/>
    <mergeCell ref="P8:Q8"/>
    <mergeCell ref="R8:S8"/>
    <mergeCell ref="T8:U8"/>
    <mergeCell ref="AT8:AU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BH9:BI9"/>
    <mergeCell ref="BJ9:BK9"/>
    <mergeCell ref="BL9:BM9"/>
    <mergeCell ref="BN9:BO9"/>
    <mergeCell ref="AV8:AW8"/>
    <mergeCell ref="AX8:AY8"/>
    <mergeCell ref="AZ8:BA8"/>
    <mergeCell ref="BB8:BC8"/>
    <mergeCell ref="BD8:BE8"/>
    <mergeCell ref="BF8:BG8"/>
    <mergeCell ref="BD9:BE9"/>
    <mergeCell ref="BF9:BG9"/>
    <mergeCell ref="BU8:BU10"/>
    <mergeCell ref="BH8:BI8"/>
    <mergeCell ref="BJ8:BK8"/>
    <mergeCell ref="BL8:BM8"/>
    <mergeCell ref="BN8:BO8"/>
    <mergeCell ref="BP8:BS9"/>
    <mergeCell ref="BT8:BT10"/>
    <mergeCell ref="A26:E26"/>
  </mergeCells>
  <conditionalFormatting sqref="B1:B10 B12:B1048576">
    <cfRule type="duplicateValues" dxfId="18" priority="1"/>
  </conditionalFormatting>
  <conditionalFormatting sqref="BJ8:BJ9 BL8:BL9 BN9 F8:F9 H8:H9 J8:J9 L8:L9 N8:N9 P8:P9 R8:R9 T8:T9 V8:V9 X8:X9 Z8:Z9 AB8:AB9 AD8:AD9 AF8:AF9 AH8:AH9 AJ8:AJ9 AL8:AL9 AN8:AN9 AP8:AP9 AR8:AR9 AT8:AT9 AV8:AV9 AX8:AX9 AZ8:AZ9 BB8:BB9 BD8:BD9 BF8:BF9 BH8:BH9">
    <cfRule type="expression" dxfId="1" priority="4">
      <formula>IF(OR(H$10="CN",H$10="OT CN"),1,0)</formula>
    </cfRule>
  </conditionalFormatting>
  <conditionalFormatting sqref="F11:BO27">
    <cfRule type="expression" dxfId="0" priority="2">
      <formula>IF(OR(F$10="CN",F$10="OT CN"),1,0)</formula>
    </cfRule>
  </conditionalFormatting>
  <conditionalFormatting sqref="BN8">
    <cfRule type="expression" dxfId="16" priority="5">
      <formula>IF(OR(#REF!="CN",#REF!="OT CN"),1,0)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CF5BF191-1A90-429A-90BA-49DEDC19CFCA}">
            <xm:f>NOT(ISERROR(SEARCH(#REF!,B11)))</xm:f>
            <xm:f>#REF!</xm:f>
            <x14:dxf>
              <fill>
                <patternFill patternType="solid">
                  <bgColor theme="2" tint="-9.9978637043366805E-2"/>
                </patternFill>
              </fill>
            </x14:dxf>
          </x14:cfRule>
          <xm:sqref>C11 B12:D25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8B65-3415-45D2-9E90-37B03054DF59}">
  <dimension ref="A1:E19"/>
  <sheetViews>
    <sheetView tabSelected="1" zoomScale="130" zoomScaleNormal="130" workbookViewId="0">
      <selection activeCell="H6" sqref="H6"/>
    </sheetView>
  </sheetViews>
  <sheetFormatPr defaultColWidth="8.77734375" defaultRowHeight="13.8"/>
  <cols>
    <col min="1" max="1" width="7.44140625" style="37" customWidth="1"/>
    <col min="2" max="2" width="22.44140625" style="30" customWidth="1"/>
    <col min="3" max="3" width="21.44140625" style="30" customWidth="1"/>
    <col min="4" max="4" width="19" style="37" customWidth="1"/>
    <col min="5" max="5" width="22.109375" style="30" customWidth="1"/>
    <col min="6" max="6" width="14.21875" style="30" customWidth="1"/>
    <col min="7" max="16384" width="8.77734375" style="30"/>
  </cols>
  <sheetData>
    <row r="1" spans="1:5" ht="20.399999999999999">
      <c r="A1" s="93" t="s">
        <v>51</v>
      </c>
      <c r="B1" s="93"/>
      <c r="C1" s="93"/>
      <c r="D1" s="93"/>
      <c r="E1" s="93"/>
    </row>
    <row r="2" spans="1:5" s="33" customFormat="1" ht="15.6">
      <c r="A2" s="31" t="s">
        <v>33</v>
      </c>
      <c r="B2" s="32" t="s">
        <v>5</v>
      </c>
      <c r="C2" s="32" t="s">
        <v>24</v>
      </c>
      <c r="D2" s="31" t="s">
        <v>25</v>
      </c>
      <c r="E2" s="32" t="s">
        <v>34</v>
      </c>
    </row>
    <row r="3" spans="1:5" ht="21" customHeight="1">
      <c r="A3" s="34" t="s">
        <v>26</v>
      </c>
      <c r="B3" s="60" t="s">
        <v>52</v>
      </c>
      <c r="C3" s="35" t="s">
        <v>44</v>
      </c>
      <c r="D3" s="36" t="s">
        <v>53</v>
      </c>
      <c r="E3" s="35" t="s">
        <v>54</v>
      </c>
    </row>
    <row r="4" spans="1:5" ht="21" customHeight="1">
      <c r="A4" s="34" t="s">
        <v>27</v>
      </c>
      <c r="B4" s="60" t="s">
        <v>56</v>
      </c>
      <c r="C4" s="35" t="s">
        <v>48</v>
      </c>
      <c r="D4" s="36" t="s">
        <v>57</v>
      </c>
      <c r="E4" s="35" t="s">
        <v>58</v>
      </c>
    </row>
    <row r="5" spans="1:5" ht="21" customHeight="1">
      <c r="A5" s="34" t="s">
        <v>28</v>
      </c>
      <c r="B5" s="101" t="s">
        <v>78</v>
      </c>
      <c r="C5" s="102" t="s">
        <v>60</v>
      </c>
      <c r="D5" s="101" t="s">
        <v>59</v>
      </c>
      <c r="E5" s="102" t="s">
        <v>79</v>
      </c>
    </row>
    <row r="6" spans="1:5" ht="21" customHeight="1">
      <c r="A6" s="34" t="s">
        <v>29</v>
      </c>
      <c r="B6" s="101" t="s">
        <v>75</v>
      </c>
      <c r="C6" s="102" t="s">
        <v>62</v>
      </c>
      <c r="D6" s="103" t="s">
        <v>80</v>
      </c>
      <c r="E6" s="102" t="s">
        <v>81</v>
      </c>
    </row>
    <row r="7" spans="1:5" ht="21" customHeight="1">
      <c r="A7" s="34" t="s">
        <v>30</v>
      </c>
      <c r="B7" s="101" t="s">
        <v>82</v>
      </c>
      <c r="C7" s="102" t="s">
        <v>64</v>
      </c>
      <c r="D7" s="101" t="s">
        <v>83</v>
      </c>
      <c r="E7" s="102" t="s">
        <v>81</v>
      </c>
    </row>
    <row r="8" spans="1:5" ht="21" customHeight="1">
      <c r="A8" s="34" t="s">
        <v>31</v>
      </c>
      <c r="B8" s="101" t="s">
        <v>71</v>
      </c>
      <c r="C8" s="102" t="s">
        <v>66</v>
      </c>
      <c r="D8" s="101" t="s">
        <v>84</v>
      </c>
      <c r="E8" s="102" t="s">
        <v>85</v>
      </c>
    </row>
    <row r="9" spans="1:5" ht="21" customHeight="1">
      <c r="A9" s="34" t="s">
        <v>32</v>
      </c>
      <c r="B9" s="102" t="s">
        <v>72</v>
      </c>
      <c r="C9" s="102" t="s">
        <v>68</v>
      </c>
      <c r="D9" s="101" t="s">
        <v>86</v>
      </c>
      <c r="E9" s="102" t="s">
        <v>81</v>
      </c>
    </row>
    <row r="10" spans="1:5" ht="21" customHeight="1">
      <c r="A10" s="34" t="s">
        <v>35</v>
      </c>
      <c r="B10" s="101" t="s">
        <v>73</v>
      </c>
      <c r="C10" s="102" t="s">
        <v>70</v>
      </c>
      <c r="D10" s="101" t="s">
        <v>87</v>
      </c>
      <c r="E10" s="102" t="s">
        <v>88</v>
      </c>
    </row>
    <row r="11" spans="1:5" ht="21" customHeight="1">
      <c r="A11" s="34" t="s">
        <v>36</v>
      </c>
      <c r="B11" s="101" t="s">
        <v>89</v>
      </c>
      <c r="C11" s="102" t="s">
        <v>90</v>
      </c>
      <c r="D11" s="101" t="s">
        <v>91</v>
      </c>
      <c r="E11" s="102" t="s">
        <v>54</v>
      </c>
    </row>
    <row r="12" spans="1:5" ht="21" customHeight="1">
      <c r="A12" s="34" t="s">
        <v>37</v>
      </c>
      <c r="B12" s="101" t="s">
        <v>76</v>
      </c>
      <c r="C12" s="102" t="s">
        <v>74</v>
      </c>
      <c r="D12" s="101" t="s">
        <v>92</v>
      </c>
      <c r="E12" s="102" t="s">
        <v>54</v>
      </c>
    </row>
    <row r="13" spans="1:5" ht="21" customHeight="1">
      <c r="A13" s="34" t="s">
        <v>38</v>
      </c>
      <c r="B13" s="101" t="s">
        <v>93</v>
      </c>
      <c r="C13" s="102" t="s">
        <v>94</v>
      </c>
      <c r="D13" s="101" t="s">
        <v>95</v>
      </c>
      <c r="E13" s="102" t="s">
        <v>58</v>
      </c>
    </row>
    <row r="14" spans="1:5" ht="21" customHeight="1">
      <c r="A14" s="34" t="s">
        <v>39</v>
      </c>
      <c r="B14" s="35"/>
      <c r="C14" s="35"/>
      <c r="D14" s="36"/>
      <c r="E14" s="35"/>
    </row>
    <row r="15" spans="1:5" ht="21" customHeight="1">
      <c r="A15" s="34" t="s">
        <v>40</v>
      </c>
      <c r="B15" s="35"/>
      <c r="C15" s="35"/>
      <c r="D15" s="36"/>
      <c r="E15" s="35"/>
    </row>
    <row r="16" spans="1:5" ht="21" customHeight="1">
      <c r="A16" s="34" t="s">
        <v>41</v>
      </c>
      <c r="B16" s="35"/>
      <c r="C16" s="35"/>
      <c r="D16" s="36"/>
      <c r="E16" s="35"/>
    </row>
    <row r="17" spans="1:5" ht="21" customHeight="1">
      <c r="A17" s="34" t="s">
        <v>42</v>
      </c>
      <c r="B17" s="35"/>
      <c r="C17" s="35"/>
      <c r="D17" s="36"/>
      <c r="E17" s="35"/>
    </row>
    <row r="18" spans="1:5" ht="21" customHeight="1">
      <c r="A18" s="34"/>
      <c r="B18" s="35"/>
      <c r="C18" s="35"/>
      <c r="D18" s="36"/>
      <c r="E18" s="35"/>
    </row>
    <row r="19" spans="1:5" ht="21" customHeight="1">
      <c r="A19" s="34"/>
      <c r="B19" s="35"/>
      <c r="C19" s="35"/>
      <c r="D19" s="36"/>
      <c r="E19" s="35"/>
    </row>
  </sheetData>
  <mergeCells count="1">
    <mergeCell ref="A1:E1"/>
  </mergeCells>
  <phoneticPr fontId="21" type="noConversion"/>
  <conditionalFormatting sqref="B1:B2 B14:B1048576">
    <cfRule type="duplicateValues" dxfId="10" priority="6"/>
  </conditionalFormatting>
  <conditionalFormatting sqref="C1:C2 C14:C1048576">
    <cfRule type="duplicateValues" dxfId="9" priority="5"/>
  </conditionalFormatting>
  <conditionalFormatting sqref="B3:B4">
    <cfRule type="duplicateValues" dxfId="3" priority="2"/>
  </conditionalFormatting>
  <conditionalFormatting sqref="C3:C4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520</vt:lpstr>
      <vt:lpstr>700</vt:lpstr>
      <vt:lpstr>750</vt:lpstr>
      <vt:lpstr>800</vt:lpstr>
      <vt:lpstr>900</vt:lpstr>
      <vt:lpstr>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Thoa</dc:creator>
  <cp:lastModifiedBy>Dat Pham Tien</cp:lastModifiedBy>
  <cp:lastPrinted>2023-07-06T10:05:33Z</cp:lastPrinted>
  <dcterms:created xsi:type="dcterms:W3CDTF">2019-01-05T09:11:00Z</dcterms:created>
  <dcterms:modified xsi:type="dcterms:W3CDTF">2026-08-08T14:02:58Z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  <property fmtid="{D5CDD505-2E9C-101B-9397-08002B2CF9AE}" pid="3" name="KSOReadingLayout">
    <vt:bool>false</vt:bool>
  </property>
</Properties>
</file>