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dev/Downloads/"/>
    </mc:Choice>
  </mc:AlternateContent>
  <xr:revisionPtr revIDLastSave="0" documentId="13_ncr:1_{99D144BC-5AF5-944F-AB4F-AAA48B619900}" xr6:coauthVersionLast="47" xr6:coauthVersionMax="47" xr10:uidLastSave="{00000000-0000-0000-0000-000000000000}"/>
  <bookViews>
    <workbookView xWindow="0" yWindow="600" windowWidth="21320" windowHeight="18140" tabRatio="705" xr2:uid="{00000000-000D-0000-FFFF-FFFF00000000}"/>
  </bookViews>
  <sheets>
    <sheet name="BCC " sheetId="18" r:id="rId1"/>
    <sheet name="STK" sheetId="19" r:id="rId2"/>
  </sheets>
  <definedNames>
    <definedName name="_xlnm._FilterDatabase" localSheetId="0" hidden="1">'BCC '!$A$11:$BG$19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" i="18" l="1"/>
  <c r="M19" i="18"/>
  <c r="K19" i="18"/>
  <c r="I19" i="18"/>
  <c r="L19" i="18"/>
  <c r="BO12" i="18"/>
  <c r="BP12" i="18"/>
  <c r="BO16" i="18"/>
  <c r="BP16" i="18"/>
  <c r="BQ16" i="18"/>
  <c r="BR16" i="18"/>
  <c r="BO17" i="18"/>
  <c r="BP17" i="18"/>
  <c r="BQ17" i="18"/>
  <c r="BR17" i="18"/>
  <c r="BO18" i="18"/>
  <c r="BP18" i="18"/>
  <c r="BQ18" i="18"/>
  <c r="BR18" i="18"/>
  <c r="BA19" i="18"/>
  <c r="BO15" i="18" l="1"/>
  <c r="BP15" i="18"/>
  <c r="BQ15" i="18"/>
  <c r="BR15" i="18"/>
  <c r="BQ12" i="18"/>
  <c r="BR12" i="18"/>
  <c r="BO13" i="18"/>
  <c r="BP13" i="18"/>
  <c r="BQ13" i="18"/>
  <c r="BR13" i="18"/>
  <c r="BO14" i="18"/>
  <c r="BP14" i="18"/>
  <c r="BQ14" i="18"/>
  <c r="BR14" i="18"/>
  <c r="E19" i="18"/>
  <c r="F19" i="18"/>
  <c r="G19" i="18"/>
  <c r="H19" i="18"/>
  <c r="J19" i="18"/>
  <c r="N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AD19" i="18"/>
  <c r="AE19" i="18"/>
  <c r="AF19" i="18"/>
  <c r="AG19" i="18"/>
  <c r="AH19" i="18"/>
  <c r="AI19" i="18"/>
  <c r="AJ19" i="18"/>
  <c r="AK19" i="18"/>
  <c r="AL19" i="18"/>
  <c r="AM19" i="18"/>
  <c r="AN19" i="18"/>
  <c r="AO19" i="18"/>
  <c r="AP19" i="18"/>
  <c r="AQ19" i="18"/>
  <c r="AR19" i="18"/>
  <c r="AS19" i="18"/>
  <c r="AT19" i="18"/>
  <c r="AU19" i="18"/>
  <c r="AV19" i="18"/>
  <c r="AW19" i="18"/>
  <c r="AX19" i="18"/>
  <c r="AY19" i="18"/>
  <c r="AZ19" i="18"/>
  <c r="BB19" i="18"/>
  <c r="BC19" i="18"/>
  <c r="BD19" i="18"/>
  <c r="BE19" i="18"/>
  <c r="BF19" i="18"/>
  <c r="BG19" i="18"/>
  <c r="BH19" i="18"/>
  <c r="BI19" i="18"/>
  <c r="BJ19" i="18"/>
  <c r="BK19" i="18"/>
  <c r="BL19" i="18"/>
  <c r="BM19" i="18"/>
  <c r="BN19" i="18"/>
  <c r="BO19" i="18" l="1"/>
  <c r="BP19" i="18"/>
  <c r="BR19" i="18"/>
  <c r="BQ19" i="18"/>
</calcChain>
</file>

<file path=xl/sharedStrings.xml><?xml version="1.0" encoding="utf-8"?>
<sst xmlns="http://schemas.openxmlformats.org/spreadsheetml/2006/main" count="162" uniqueCount="57">
  <si>
    <t>STT</t>
  </si>
  <si>
    <t>Công ty Cổ phần Quốc tế Thương mại và Dịch vụ Việt Pháp</t>
  </si>
  <si>
    <t>MST: 0201307104</t>
  </si>
  <si>
    <t>Địa chỉ: Số 12 Lô 18D Lê Hồng Phong, P.Đằng Lâm, Q.Hải An, Hải Phòng</t>
  </si>
  <si>
    <t>Tổng cộng</t>
  </si>
  <si>
    <t>Mã nhân viên</t>
  </si>
  <si>
    <t>Họ và tên</t>
  </si>
  <si>
    <t>Tổng hợp</t>
  </si>
  <si>
    <t>T2</t>
  </si>
  <si>
    <t>T3</t>
  </si>
  <si>
    <t>T4</t>
  </si>
  <si>
    <t>T5</t>
  </si>
  <si>
    <t>T6</t>
  </si>
  <si>
    <t>T7</t>
  </si>
  <si>
    <t>CN</t>
  </si>
  <si>
    <t>Người lập biểu</t>
  </si>
  <si>
    <t>( Ký &amp; ghi rõ họ tên )</t>
  </si>
  <si>
    <t>Ghi chú</t>
  </si>
  <si>
    <t>HC</t>
  </si>
  <si>
    <t>TCN</t>
  </si>
  <si>
    <t>NN</t>
  </si>
  <si>
    <t>TCNN</t>
  </si>
  <si>
    <t>Nguyễn Văn Cường</t>
  </si>
  <si>
    <t>ID</t>
  </si>
  <si>
    <t>Tên</t>
  </si>
  <si>
    <t>Stk</t>
  </si>
  <si>
    <t>01</t>
  </si>
  <si>
    <t>02</t>
  </si>
  <si>
    <t>03</t>
  </si>
  <si>
    <t>04</t>
  </si>
  <si>
    <t>05</t>
  </si>
  <si>
    <t>06</t>
  </si>
  <si>
    <t>SỐ TÀI KHOẢN DỰ ÁN EPE</t>
  </si>
  <si>
    <t>Stt</t>
  </si>
  <si>
    <t>Ngân Hàng</t>
  </si>
  <si>
    <t>MB</t>
  </si>
  <si>
    <t>Sacombank</t>
  </si>
  <si>
    <t>Nguyễn Thị Thu Phương</t>
  </si>
  <si>
    <t>Đồng Thị Thu Huế</t>
  </si>
  <si>
    <t>Nghiêm Thị Huyền</t>
  </si>
  <si>
    <t>001179010398</t>
  </si>
  <si>
    <t>030178005709</t>
  </si>
  <si>
    <t>001189020230</t>
  </si>
  <si>
    <t>030077947422</t>
  </si>
  <si>
    <t>19032103232015</t>
  </si>
  <si>
    <t>Techcombank</t>
  </si>
  <si>
    <t>19032103235014</t>
  </si>
  <si>
    <t>Nguyễn Thế Kiệt</t>
  </si>
  <si>
    <t>Trần Thị Thu Hường</t>
  </si>
  <si>
    <t>Đỗ Thị Thu Hằng</t>
  </si>
  <si>
    <t>031204007929</t>
  </si>
  <si>
    <t>025188007699</t>
  </si>
  <si>
    <t>031179015253</t>
  </si>
  <si>
    <t>7012032004</t>
  </si>
  <si>
    <t>19032189422016</t>
  </si>
  <si>
    <t>19032103242010</t>
  </si>
  <si>
    <t>BẢNG CHẤM CÔNG LƯƠNG TUẦN KỲ 1 T06.2026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</si>
</sst>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_-;_-@_-"/>
    <numFmt numFmtId="165" formatCode="_-* #,##0.00\ _₫_-;\-* #,##0.00\ _₫_-;_-* &quot;-&quot;??\ _₫_-;_-@_-"/>
    <numFmt numFmtId="166" formatCode="0.0"/>
    <numFmt numFmtId="167" formatCode="[$-F800]dddd\,\ mmmm\ dd\,\ yyyy"/>
    <numFmt numFmtId="168" formatCode="dd"/>
    <numFmt numFmtId="169" formatCode="&quot;T&quot;General"/>
    <numFmt numFmtId="170" formatCode="_-* #,##0.0_-;\-* #,##0.0_-;_-* &quot;-&quot;??_-;_-@_-"/>
    <numFmt numFmtId="171" formatCode="_-* #,##0_-;\-* #,##0_-;_-* &quot;-&quot;??_-;_-@_-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돋움"/>
      <family val="2"/>
      <charset val="129"/>
    </font>
    <font>
      <sz val="10"/>
      <name val="Arial"/>
      <family val="2"/>
    </font>
    <font>
      <sz val="11"/>
      <name val="Tahoma"/>
      <family val="2"/>
    </font>
    <font>
      <b/>
      <sz val="11"/>
      <name val="Tahoma"/>
      <family val="2"/>
    </font>
    <font>
      <sz val="12"/>
      <name val="Tahoma"/>
      <family val="2"/>
    </font>
    <font>
      <b/>
      <sz val="12"/>
      <name val="Tahoma"/>
      <family val="2"/>
    </font>
    <font>
      <b/>
      <sz val="24"/>
      <name val="Tahoma"/>
      <family val="2"/>
    </font>
    <font>
      <b/>
      <sz val="12"/>
      <color rgb="FF000000"/>
      <name val="Times New Roman"/>
      <family val="1"/>
    </font>
    <font>
      <i/>
      <sz val="12"/>
      <name val="Tahoma"/>
      <family val="2"/>
    </font>
    <font>
      <b/>
      <i/>
      <sz val="16"/>
      <name val="Tahoma"/>
      <family val="2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4"/>
      <color rgb="FF000000"/>
      <name val="Times New Roman"/>
      <family val="1"/>
      <charset val="163"/>
    </font>
    <font>
      <sz val="12"/>
      <color rgb="FF000000"/>
      <name val="Tahoma"/>
      <family val="2"/>
      <charset val="163"/>
    </font>
    <font>
      <b/>
      <sz val="12"/>
      <color rgb="FF000000"/>
      <name val="Tahoma"/>
      <family val="2"/>
    </font>
    <font>
      <b/>
      <sz val="14"/>
      <color rgb="FF000000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  <charset val="163"/>
    </font>
    <font>
      <b/>
      <sz val="12"/>
      <color rgb="FF000000"/>
      <name val="Times New Roman"/>
      <family val="1"/>
      <charset val="163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FFFF00"/>
        <bgColor rgb="FFD8D8D8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>
      <alignment vertical="center"/>
    </xf>
    <xf numFmtId="0" fontId="2" fillId="0" borderId="0"/>
    <xf numFmtId="165" fontId="3" fillId="0" borderId="0" applyFont="0" applyFill="0" applyBorder="0" applyAlignment="0" applyProtection="0"/>
    <xf numFmtId="0" fontId="4" fillId="0" borderId="0"/>
    <xf numFmtId="0" fontId="5" fillId="0" borderId="0"/>
    <xf numFmtId="0" fontId="1" fillId="0" borderId="0"/>
    <xf numFmtId="167" fontId="4" fillId="0" borderId="0" applyFont="0" applyFill="0" applyBorder="0" applyAlignment="0" applyProtection="0">
      <alignment vertical="center"/>
    </xf>
    <xf numFmtId="167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26" fillId="0" borderId="0" applyFont="0" applyFill="0" applyBorder="0" applyAlignment="0" applyProtection="0"/>
  </cellStyleXfs>
  <cellXfs count="86">
    <xf numFmtId="0" fontId="0" fillId="0" borderId="0" xfId="0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9" fillId="2" borderId="0" xfId="0" applyFont="1" applyFill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49" fontId="8" fillId="2" borderId="0" xfId="0" applyNumberFormat="1" applyFont="1" applyFill="1">
      <alignment vertical="center"/>
    </xf>
    <xf numFmtId="0" fontId="9" fillId="4" borderId="0" xfId="0" applyFont="1" applyFill="1">
      <alignment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8" fillId="0" borderId="0" xfId="0" applyFont="1">
      <alignment vertical="center"/>
    </xf>
    <xf numFmtId="0" fontId="18" fillId="2" borderId="0" xfId="0" applyFont="1" applyFill="1">
      <alignment vertical="center"/>
    </xf>
    <xf numFmtId="0" fontId="19" fillId="2" borderId="0" xfId="0" applyFont="1" applyFill="1">
      <alignment vertical="center"/>
    </xf>
    <xf numFmtId="0" fontId="15" fillId="5" borderId="3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171" fontId="17" fillId="0" borderId="1" xfId="2" applyNumberFormat="1" applyFont="1" applyFill="1" applyBorder="1" applyAlignment="1">
      <alignment horizontal="center" vertical="center" wrapText="1"/>
    </xf>
    <xf numFmtId="0" fontId="18" fillId="0" borderId="0" xfId="0" applyFont="1">
      <alignment vertical="center"/>
    </xf>
    <xf numFmtId="1" fontId="11" fillId="7" borderId="1" xfId="0" applyNumberFormat="1" applyFont="1" applyFill="1" applyBorder="1" applyAlignment="1">
      <alignment horizontal="center" vertical="center"/>
    </xf>
    <xf numFmtId="170" fontId="11" fillId="7" borderId="1" xfId="2" applyNumberFormat="1" applyFont="1" applyFill="1" applyBorder="1" applyAlignment="1">
      <alignment horizontal="center" vertical="center"/>
    </xf>
    <xf numFmtId="171" fontId="17" fillId="6" borderId="1" xfId="2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70" fontId="11" fillId="0" borderId="0" xfId="2" applyNumberFormat="1" applyFont="1" applyFill="1" applyBorder="1" applyAlignment="1">
      <alignment horizontal="center" vertical="center"/>
    </xf>
    <xf numFmtId="171" fontId="17" fillId="0" borderId="0" xfId="2" applyNumberFormat="1" applyFont="1" applyFill="1" applyBorder="1" applyAlignment="1">
      <alignment horizontal="center" vertical="center" wrapText="1"/>
    </xf>
    <xf numFmtId="0" fontId="19" fillId="0" borderId="0" xfId="0" applyFont="1">
      <alignment vertical="center"/>
    </xf>
    <xf numFmtId="166" fontId="22" fillId="3" borderId="1" xfId="0" applyNumberFormat="1" applyFont="1" applyFill="1" applyBorder="1" applyAlignment="1">
      <alignment horizontal="center" vertical="center" wrapText="1"/>
    </xf>
    <xf numFmtId="170" fontId="23" fillId="0" borderId="1" xfId="2" applyNumberFormat="1" applyFont="1" applyFill="1" applyBorder="1" applyAlignment="1">
      <alignment horizontal="center" vertical="center" wrapText="1"/>
    </xf>
    <xf numFmtId="166" fontId="22" fillId="2" borderId="1" xfId="0" applyNumberFormat="1" applyFont="1" applyFill="1" applyBorder="1" applyAlignment="1">
      <alignment horizontal="center" vertical="center" wrapText="1"/>
    </xf>
    <xf numFmtId="0" fontId="25" fillId="0" borderId="0" xfId="0" applyFont="1" applyAlignment="1"/>
    <xf numFmtId="49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49" fontId="25" fillId="0" borderId="1" xfId="0" applyNumberFormat="1" applyFont="1" applyBorder="1" applyAlignment="1">
      <alignment horizontal="center"/>
    </xf>
    <xf numFmtId="0" fontId="25" fillId="0" borderId="1" xfId="0" applyFont="1" applyBorder="1" applyAlignment="1"/>
    <xf numFmtId="49" fontId="25" fillId="0" borderId="1" xfId="0" applyNumberFormat="1" applyFont="1" applyBorder="1" applyAlignment="1"/>
    <xf numFmtId="49" fontId="25" fillId="0" borderId="0" xfId="0" applyNumberFormat="1" applyFont="1" applyAlignment="1"/>
    <xf numFmtId="0" fontId="15" fillId="0" borderId="4" xfId="0" quotePrefix="1" applyFont="1" applyBorder="1">
      <alignment vertical="center"/>
    </xf>
    <xf numFmtId="0" fontId="15" fillId="0" borderId="4" xfId="0" applyFont="1" applyBorder="1">
      <alignment vertical="center"/>
    </xf>
    <xf numFmtId="0" fontId="15" fillId="0" borderId="6" xfId="0" applyFont="1" applyBorder="1" applyAlignment="1">
      <alignment horizontal="left" vertical="center" wrapText="1"/>
    </xf>
    <xf numFmtId="49" fontId="7" fillId="2" borderId="0" xfId="0" applyNumberFormat="1" applyFont="1" applyFill="1" applyAlignment="1">
      <alignment horizontal="center" vertical="center" wrapText="1"/>
    </xf>
    <xf numFmtId="49" fontId="6" fillId="2" borderId="0" xfId="0" applyNumberFormat="1" applyFont="1" applyFill="1">
      <alignment vertical="center"/>
    </xf>
    <xf numFmtId="49" fontId="7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15" fillId="10" borderId="3" xfId="0" applyFont="1" applyFill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169" fontId="14" fillId="8" borderId="3" xfId="2" applyNumberFormat="1" applyFont="1" applyFill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wrapText="1"/>
    </xf>
    <xf numFmtId="0" fontId="15" fillId="0" borderId="4" xfId="0" quotePrefix="1" applyFont="1" applyBorder="1" applyAlignment="1"/>
    <xf numFmtId="0" fontId="15" fillId="0" borderId="4" xfId="0" applyFont="1" applyBorder="1" applyAlignment="1"/>
    <xf numFmtId="0" fontId="15" fillId="0" borderId="1" xfId="0" quotePrefix="1" applyFont="1" applyBorder="1" applyAlignment="1"/>
    <xf numFmtId="0" fontId="15" fillId="0" borderId="1" xfId="0" applyFont="1" applyBorder="1" applyAlignment="1"/>
    <xf numFmtId="169" fontId="14" fillId="8" borderId="4" xfId="2" applyNumberFormat="1" applyFont="1" applyFill="1" applyBorder="1" applyAlignment="1">
      <alignment horizontal="center" vertical="center" wrapText="1"/>
    </xf>
    <xf numFmtId="169" fontId="14" fillId="8" borderId="1" xfId="2" applyNumberFormat="1" applyFont="1" applyFill="1" applyBorder="1" applyAlignment="1">
      <alignment horizontal="center" vertical="center" wrapText="1"/>
    </xf>
    <xf numFmtId="164" fontId="14" fillId="8" borderId="1" xfId="9" applyFont="1" applyFill="1" applyBorder="1" applyAlignment="1">
      <alignment horizontal="center" vertical="center" wrapText="1"/>
    </xf>
    <xf numFmtId="168" fontId="11" fillId="5" borderId="3" xfId="0" applyNumberFormat="1" applyFont="1" applyFill="1" applyBorder="1" applyAlignment="1">
      <alignment horizontal="center" vertical="center" wrapText="1"/>
    </xf>
    <xf numFmtId="168" fontId="11" fillId="5" borderId="6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49" fontId="15" fillId="5" borderId="2" xfId="0" applyNumberFormat="1" applyFont="1" applyFill="1" applyBorder="1" applyAlignment="1">
      <alignment horizontal="center" vertical="center" wrapText="1"/>
    </xf>
    <xf numFmtId="49" fontId="15" fillId="5" borderId="8" xfId="0" applyNumberFormat="1" applyFont="1" applyFill="1" applyBorder="1" applyAlignment="1">
      <alignment horizontal="center" vertical="center" wrapText="1"/>
    </xf>
    <xf numFmtId="49" fontId="15" fillId="5" borderId="9" xfId="0" applyNumberFormat="1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171" fontId="20" fillId="5" borderId="2" xfId="2" applyNumberFormat="1" applyFont="1" applyFill="1" applyBorder="1" applyAlignment="1">
      <alignment horizontal="center" vertical="center" wrapText="1"/>
    </xf>
    <xf numFmtId="171" fontId="20" fillId="5" borderId="8" xfId="2" applyNumberFormat="1" applyFont="1" applyFill="1" applyBorder="1" applyAlignment="1">
      <alignment horizontal="center" vertical="center" wrapText="1"/>
    </xf>
    <xf numFmtId="171" fontId="20" fillId="5" borderId="9" xfId="2" applyNumberFormat="1" applyFont="1" applyFill="1" applyBorder="1" applyAlignment="1">
      <alignment horizontal="center" vertical="center" wrapText="1"/>
    </xf>
    <xf numFmtId="169" fontId="14" fillId="8" borderId="3" xfId="2" applyNumberFormat="1" applyFont="1" applyFill="1" applyBorder="1" applyAlignment="1">
      <alignment horizontal="center" vertical="center" wrapText="1"/>
    </xf>
    <xf numFmtId="169" fontId="14" fillId="8" borderId="6" xfId="2" applyNumberFormat="1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6" fillId="5" borderId="13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</cellXfs>
  <cellStyles count="10">
    <cellStyle name="Comma" xfId="2" builtinId="3"/>
    <cellStyle name="Comma [0]" xfId="9" builtinId="6"/>
    <cellStyle name="Comma 6" xfId="6" xr:uid="{00000000-0005-0000-0000-000001000000}"/>
    <cellStyle name="Comma 7" xfId="7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8" xr:uid="{00000000-0005-0000-0000-000006000000}"/>
    <cellStyle name="Normal 3 2" xfId="4" xr:uid="{00000000-0005-0000-0000-000007000000}"/>
    <cellStyle name="Normal 7" xfId="5" xr:uid="{00000000-0005-0000-0000-000008000000}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2" tint="-9.9978637043366805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26"/>
  <sheetViews>
    <sheetView tabSelected="1" zoomScale="60" zoomScaleNormal="60" workbookViewId="0">
      <pane xSplit="3" ySplit="11" topLeftCell="D12" activePane="bottomRight" state="frozen"/>
      <selection pane="topRight" activeCell="D1" sqref="D1"/>
      <selection pane="bottomLeft" activeCell="A11" sqref="A11"/>
      <selection pane="bottomRight" activeCell="D15" sqref="D15"/>
    </sheetView>
  </sheetViews>
  <sheetFormatPr baseColWidth="10" defaultColWidth="14.33203125" defaultRowHeight="15"/>
  <cols>
    <col min="1" max="1" width="7.6640625" style="43" customWidth="1"/>
    <col min="2" max="2" width="18.33203125" style="8" customWidth="1"/>
    <col min="3" max="3" width="29.1640625" style="1" customWidth="1"/>
    <col min="4" max="4" width="14.6640625" style="1" customWidth="1"/>
    <col min="5" max="18" width="8.83203125" style="1" customWidth="1"/>
    <col min="19" max="64" width="6.5" style="1" hidden="1" customWidth="1"/>
    <col min="65" max="66" width="8.5" style="1" hidden="1" customWidth="1"/>
    <col min="67" max="70" width="9.33203125" style="1" customWidth="1"/>
    <col min="71" max="71" width="32.83203125" style="1" customWidth="1"/>
    <col min="72" max="16384" width="14.33203125" style="1"/>
  </cols>
  <sheetData>
    <row r="1" spans="1:71">
      <c r="A1" s="42"/>
      <c r="D1" s="9" t="s">
        <v>1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71">
      <c r="D2" s="9" t="s">
        <v>2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71">
      <c r="D3" s="9" t="s">
        <v>3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3"/>
      <c r="R3" s="3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71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5"/>
    </row>
    <row r="5" spans="1:71" ht="30">
      <c r="A5" s="67" t="s">
        <v>56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</row>
    <row r="6" spans="1:71">
      <c r="A6" s="4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5"/>
      <c r="Q6" s="4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71">
      <c r="A7" s="45"/>
      <c r="B7" s="6"/>
      <c r="C7" s="5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71" s="13" customFormat="1" ht="15" customHeight="1">
      <c r="A8" s="61" t="s">
        <v>0</v>
      </c>
      <c r="B8" s="61" t="s">
        <v>5</v>
      </c>
      <c r="C8" s="64" t="s">
        <v>6</v>
      </c>
      <c r="D8" s="64" t="s">
        <v>5</v>
      </c>
      <c r="E8" s="58">
        <v>1</v>
      </c>
      <c r="F8" s="59"/>
      <c r="G8" s="58">
        <v>2</v>
      </c>
      <c r="H8" s="59"/>
      <c r="I8" s="58">
        <v>3</v>
      </c>
      <c r="J8" s="59"/>
      <c r="K8" s="58">
        <v>4</v>
      </c>
      <c r="L8" s="59"/>
      <c r="M8" s="58">
        <v>5</v>
      </c>
      <c r="N8" s="59"/>
      <c r="O8" s="58">
        <v>6</v>
      </c>
      <c r="P8" s="59"/>
      <c r="Q8" s="58">
        <v>7</v>
      </c>
      <c r="R8" s="59"/>
      <c r="S8" s="58">
        <v>8</v>
      </c>
      <c r="T8" s="59"/>
      <c r="U8" s="58">
        <v>9</v>
      </c>
      <c r="V8" s="59"/>
      <c r="W8" s="58">
        <v>10</v>
      </c>
      <c r="X8" s="59"/>
      <c r="Y8" s="58">
        <v>11</v>
      </c>
      <c r="Z8" s="59"/>
      <c r="AA8" s="58">
        <v>12</v>
      </c>
      <c r="AB8" s="59"/>
      <c r="AC8" s="58">
        <v>13</v>
      </c>
      <c r="AD8" s="59"/>
      <c r="AE8" s="58">
        <v>14</v>
      </c>
      <c r="AF8" s="59"/>
      <c r="AG8" s="58">
        <v>15</v>
      </c>
      <c r="AH8" s="59"/>
      <c r="AI8" s="58">
        <v>16</v>
      </c>
      <c r="AJ8" s="59"/>
      <c r="AK8" s="58">
        <v>17</v>
      </c>
      <c r="AL8" s="59"/>
      <c r="AM8" s="58">
        <v>18</v>
      </c>
      <c r="AN8" s="59"/>
      <c r="AO8" s="58">
        <v>19</v>
      </c>
      <c r="AP8" s="59"/>
      <c r="AQ8" s="58">
        <v>20</v>
      </c>
      <c r="AR8" s="59"/>
      <c r="AS8" s="58">
        <v>21</v>
      </c>
      <c r="AT8" s="59"/>
      <c r="AU8" s="58">
        <v>22</v>
      </c>
      <c r="AV8" s="59"/>
      <c r="AW8" s="58">
        <v>23</v>
      </c>
      <c r="AX8" s="59"/>
      <c r="AY8" s="58">
        <v>24</v>
      </c>
      <c r="AZ8" s="59"/>
      <c r="BA8" s="58">
        <v>25</v>
      </c>
      <c r="BB8" s="59"/>
      <c r="BC8" s="58">
        <v>26</v>
      </c>
      <c r="BD8" s="59"/>
      <c r="BE8" s="58">
        <v>27</v>
      </c>
      <c r="BF8" s="59"/>
      <c r="BG8" s="58">
        <v>28</v>
      </c>
      <c r="BH8" s="59"/>
      <c r="BI8" s="58">
        <v>29</v>
      </c>
      <c r="BJ8" s="59"/>
      <c r="BK8" s="58">
        <v>30</v>
      </c>
      <c r="BL8" s="59"/>
      <c r="BM8" s="58">
        <v>31</v>
      </c>
      <c r="BN8" s="59"/>
      <c r="BO8" s="73" t="s">
        <v>7</v>
      </c>
      <c r="BP8" s="74"/>
      <c r="BQ8" s="74"/>
      <c r="BR8" s="75"/>
      <c r="BS8" s="68" t="s">
        <v>17</v>
      </c>
    </row>
    <row r="9" spans="1:71" s="13" customFormat="1" ht="26.5" customHeight="1">
      <c r="A9" s="62"/>
      <c r="B9" s="62"/>
      <c r="C9" s="65"/>
      <c r="D9" s="65"/>
      <c r="E9" s="71" t="s">
        <v>8</v>
      </c>
      <c r="F9" s="72"/>
      <c r="G9" s="71" t="s">
        <v>9</v>
      </c>
      <c r="H9" s="72"/>
      <c r="I9" s="71" t="s">
        <v>10</v>
      </c>
      <c r="J9" s="72"/>
      <c r="K9" s="71" t="s">
        <v>11</v>
      </c>
      <c r="L9" s="72"/>
      <c r="M9" s="71" t="s">
        <v>12</v>
      </c>
      <c r="N9" s="72"/>
      <c r="O9" s="71" t="s">
        <v>13</v>
      </c>
      <c r="P9" s="72"/>
      <c r="Q9" s="71" t="s">
        <v>14</v>
      </c>
      <c r="R9" s="72"/>
      <c r="S9" s="71" t="s">
        <v>8</v>
      </c>
      <c r="T9" s="72"/>
      <c r="U9" s="71" t="s">
        <v>9</v>
      </c>
      <c r="V9" s="72"/>
      <c r="W9" s="71" t="s">
        <v>10</v>
      </c>
      <c r="X9" s="72"/>
      <c r="Y9" s="71" t="s">
        <v>11</v>
      </c>
      <c r="Z9" s="72"/>
      <c r="AA9" s="71" t="s">
        <v>12</v>
      </c>
      <c r="AB9" s="72"/>
      <c r="AC9" s="71" t="s">
        <v>13</v>
      </c>
      <c r="AD9" s="72"/>
      <c r="AE9" s="71" t="s">
        <v>14</v>
      </c>
      <c r="AF9" s="72"/>
      <c r="AG9" s="71" t="s">
        <v>8</v>
      </c>
      <c r="AH9" s="72"/>
      <c r="AI9" s="71" t="s">
        <v>9</v>
      </c>
      <c r="AJ9" s="72"/>
      <c r="AK9" s="71" t="s">
        <v>10</v>
      </c>
      <c r="AL9" s="72"/>
      <c r="AM9" s="71" t="s">
        <v>11</v>
      </c>
      <c r="AN9" s="72"/>
      <c r="AO9" s="71" t="s">
        <v>12</v>
      </c>
      <c r="AP9" s="72"/>
      <c r="AQ9" s="71" t="s">
        <v>13</v>
      </c>
      <c r="AR9" s="72"/>
      <c r="AS9" s="71" t="s">
        <v>14</v>
      </c>
      <c r="AT9" s="72"/>
      <c r="AU9" s="71" t="s">
        <v>8</v>
      </c>
      <c r="AV9" s="72"/>
      <c r="AW9" s="71" t="s">
        <v>9</v>
      </c>
      <c r="AX9" s="72"/>
      <c r="AY9" s="71" t="s">
        <v>10</v>
      </c>
      <c r="AZ9" s="72"/>
      <c r="BA9" s="71" t="s">
        <v>11</v>
      </c>
      <c r="BB9" s="72"/>
      <c r="BC9" s="71" t="s">
        <v>12</v>
      </c>
      <c r="BD9" s="72"/>
      <c r="BE9" s="71" t="s">
        <v>13</v>
      </c>
      <c r="BF9" s="72"/>
      <c r="BG9" s="71" t="s">
        <v>14</v>
      </c>
      <c r="BH9" s="72"/>
      <c r="BI9" s="71" t="s">
        <v>8</v>
      </c>
      <c r="BJ9" s="72"/>
      <c r="BK9" s="71" t="s">
        <v>9</v>
      </c>
      <c r="BL9" s="72"/>
      <c r="BM9" s="71" t="s">
        <v>10</v>
      </c>
      <c r="BN9" s="72"/>
      <c r="BO9" s="76"/>
      <c r="BP9" s="77"/>
      <c r="BQ9" s="77"/>
      <c r="BR9" s="78"/>
      <c r="BS9" s="69"/>
    </row>
    <row r="10" spans="1:71" s="13" customFormat="1" ht="26.5" customHeight="1">
      <c r="A10" s="62"/>
      <c r="B10" s="62"/>
      <c r="C10" s="65"/>
      <c r="D10" s="65"/>
      <c r="E10" s="57">
        <v>33000</v>
      </c>
      <c r="F10" s="57">
        <v>49500</v>
      </c>
      <c r="G10" s="57">
        <v>33000</v>
      </c>
      <c r="H10" s="57">
        <v>49500</v>
      </c>
      <c r="I10" s="57">
        <v>33000</v>
      </c>
      <c r="J10" s="57">
        <v>49500</v>
      </c>
      <c r="K10" s="57">
        <v>33000</v>
      </c>
      <c r="L10" s="57">
        <v>49500</v>
      </c>
      <c r="M10" s="57">
        <v>33000</v>
      </c>
      <c r="N10" s="57">
        <v>49500</v>
      </c>
      <c r="O10" s="57">
        <v>33000</v>
      </c>
      <c r="P10" s="57">
        <v>49500</v>
      </c>
      <c r="Q10" s="57">
        <v>66000</v>
      </c>
      <c r="R10" s="56"/>
      <c r="S10" s="49"/>
      <c r="T10" s="55"/>
      <c r="U10" s="49"/>
      <c r="V10" s="55"/>
      <c r="W10" s="49"/>
      <c r="X10" s="55"/>
      <c r="Y10" s="49"/>
      <c r="Z10" s="55"/>
      <c r="AA10" s="49"/>
      <c r="AB10" s="55"/>
      <c r="AC10" s="49"/>
      <c r="AD10" s="55"/>
      <c r="AE10" s="49"/>
      <c r="AF10" s="55"/>
      <c r="AG10" s="49"/>
      <c r="AH10" s="55"/>
      <c r="AI10" s="49"/>
      <c r="AJ10" s="55"/>
      <c r="AK10" s="49"/>
      <c r="AL10" s="55"/>
      <c r="AM10" s="49"/>
      <c r="AN10" s="55"/>
      <c r="AO10" s="49"/>
      <c r="AP10" s="55"/>
      <c r="AQ10" s="49"/>
      <c r="AR10" s="55"/>
      <c r="AS10" s="49"/>
      <c r="AT10" s="55"/>
      <c r="AU10" s="49"/>
      <c r="AV10" s="55"/>
      <c r="AW10" s="49"/>
      <c r="AX10" s="55"/>
      <c r="AY10" s="49"/>
      <c r="AZ10" s="55"/>
      <c r="BA10" s="49"/>
      <c r="BB10" s="55"/>
      <c r="BC10" s="49"/>
      <c r="BD10" s="55"/>
      <c r="BE10" s="49"/>
      <c r="BF10" s="55"/>
      <c r="BG10" s="49"/>
      <c r="BH10" s="55"/>
      <c r="BI10" s="49"/>
      <c r="BJ10" s="55"/>
      <c r="BK10" s="49"/>
      <c r="BL10" s="55"/>
      <c r="BM10" s="49"/>
      <c r="BN10" s="55"/>
      <c r="BO10" s="79"/>
      <c r="BP10" s="80"/>
      <c r="BQ10" s="80"/>
      <c r="BR10" s="81"/>
      <c r="BS10" s="69"/>
    </row>
    <row r="11" spans="1:71" s="13" customFormat="1" ht="42" customHeight="1">
      <c r="A11" s="63"/>
      <c r="B11" s="63"/>
      <c r="C11" s="66"/>
      <c r="D11" s="66"/>
      <c r="E11" s="15" t="s">
        <v>18</v>
      </c>
      <c r="F11" s="15" t="s">
        <v>19</v>
      </c>
      <c r="G11" s="15" t="s">
        <v>18</v>
      </c>
      <c r="H11" s="15" t="s">
        <v>19</v>
      </c>
      <c r="I11" s="15" t="s">
        <v>18</v>
      </c>
      <c r="J11" s="15" t="s">
        <v>19</v>
      </c>
      <c r="K11" s="15" t="s">
        <v>18</v>
      </c>
      <c r="L11" s="15" t="s">
        <v>19</v>
      </c>
      <c r="M11" s="15" t="s">
        <v>18</v>
      </c>
      <c r="N11" s="15" t="s">
        <v>19</v>
      </c>
      <c r="O11" s="15" t="s">
        <v>18</v>
      </c>
      <c r="P11" s="15" t="s">
        <v>19</v>
      </c>
      <c r="Q11" s="47" t="s">
        <v>20</v>
      </c>
      <c r="R11" s="47" t="s">
        <v>21</v>
      </c>
      <c r="S11" s="15" t="s">
        <v>18</v>
      </c>
      <c r="T11" s="15" t="s">
        <v>19</v>
      </c>
      <c r="U11" s="15" t="s">
        <v>18</v>
      </c>
      <c r="V11" s="15" t="s">
        <v>19</v>
      </c>
      <c r="W11" s="15" t="s">
        <v>18</v>
      </c>
      <c r="X11" s="15" t="s">
        <v>19</v>
      </c>
      <c r="Y11" s="15" t="s">
        <v>18</v>
      </c>
      <c r="Z11" s="15" t="s">
        <v>19</v>
      </c>
      <c r="AA11" s="15" t="s">
        <v>18</v>
      </c>
      <c r="AB11" s="15" t="s">
        <v>19</v>
      </c>
      <c r="AC11" s="15" t="s">
        <v>18</v>
      </c>
      <c r="AD11" s="15" t="s">
        <v>19</v>
      </c>
      <c r="AE11" s="47" t="s">
        <v>20</v>
      </c>
      <c r="AF11" s="47" t="s">
        <v>21</v>
      </c>
      <c r="AG11" s="15" t="s">
        <v>18</v>
      </c>
      <c r="AH11" s="15" t="s">
        <v>19</v>
      </c>
      <c r="AI11" s="15" t="s">
        <v>18</v>
      </c>
      <c r="AJ11" s="15" t="s">
        <v>19</v>
      </c>
      <c r="AK11" s="15" t="s">
        <v>18</v>
      </c>
      <c r="AL11" s="15" t="s">
        <v>19</v>
      </c>
      <c r="AM11" s="15" t="s">
        <v>18</v>
      </c>
      <c r="AN11" s="15" t="s">
        <v>19</v>
      </c>
      <c r="AO11" s="15" t="s">
        <v>18</v>
      </c>
      <c r="AP11" s="15" t="s">
        <v>19</v>
      </c>
      <c r="AQ11" s="15" t="s">
        <v>18</v>
      </c>
      <c r="AR11" s="15" t="s">
        <v>19</v>
      </c>
      <c r="AS11" s="47" t="s">
        <v>20</v>
      </c>
      <c r="AT11" s="47" t="s">
        <v>21</v>
      </c>
      <c r="AU11" s="15" t="s">
        <v>18</v>
      </c>
      <c r="AV11" s="15" t="s">
        <v>19</v>
      </c>
      <c r="AW11" s="15" t="s">
        <v>18</v>
      </c>
      <c r="AX11" s="15" t="s">
        <v>19</v>
      </c>
      <c r="AY11" s="15" t="s">
        <v>18</v>
      </c>
      <c r="AZ11" s="15" t="s">
        <v>19</v>
      </c>
      <c r="BA11" s="15" t="s">
        <v>18</v>
      </c>
      <c r="BB11" s="15" t="s">
        <v>19</v>
      </c>
      <c r="BC11" s="15" t="s">
        <v>18</v>
      </c>
      <c r="BD11" s="15" t="s">
        <v>19</v>
      </c>
      <c r="BE11" s="15" t="s">
        <v>18</v>
      </c>
      <c r="BF11" s="15" t="s">
        <v>19</v>
      </c>
      <c r="BG11" s="47" t="s">
        <v>20</v>
      </c>
      <c r="BH11" s="47" t="s">
        <v>21</v>
      </c>
      <c r="BI11" s="15" t="s">
        <v>18</v>
      </c>
      <c r="BJ11" s="15" t="s">
        <v>19</v>
      </c>
      <c r="BK11" s="15" t="s">
        <v>18</v>
      </c>
      <c r="BL11" s="15" t="s">
        <v>19</v>
      </c>
      <c r="BM11" s="15" t="s">
        <v>18</v>
      </c>
      <c r="BN11" s="15" t="s">
        <v>19</v>
      </c>
      <c r="BO11" s="15" t="s">
        <v>18</v>
      </c>
      <c r="BP11" s="15" t="s">
        <v>19</v>
      </c>
      <c r="BQ11" s="16" t="s">
        <v>20</v>
      </c>
      <c r="BR11" s="16" t="s">
        <v>21</v>
      </c>
      <c r="BS11" s="70"/>
    </row>
    <row r="12" spans="1:71" s="19" customFormat="1" ht="29.5" customHeight="1">
      <c r="A12" s="50" t="s">
        <v>27</v>
      </c>
      <c r="B12" s="51" t="s">
        <v>41</v>
      </c>
      <c r="C12" s="52" t="s">
        <v>38</v>
      </c>
      <c r="D12" s="17"/>
      <c r="E12" s="30">
        <v>8</v>
      </c>
      <c r="F12" s="30">
        <v>3</v>
      </c>
      <c r="G12" s="30">
        <v>8</v>
      </c>
      <c r="H12" s="30">
        <v>3</v>
      </c>
      <c r="I12" s="30">
        <v>8</v>
      </c>
      <c r="J12" s="30"/>
      <c r="K12" s="30">
        <v>8</v>
      </c>
      <c r="L12" s="30">
        <v>3</v>
      </c>
      <c r="M12" s="30">
        <v>8</v>
      </c>
      <c r="N12" s="30"/>
      <c r="O12" s="30">
        <v>8</v>
      </c>
      <c r="P12" s="30"/>
      <c r="Q12" s="28">
        <v>8</v>
      </c>
      <c r="R12" s="28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28"/>
      <c r="AF12" s="28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28"/>
      <c r="AT12" s="28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28"/>
      <c r="BH12" s="28"/>
      <c r="BI12" s="30"/>
      <c r="BJ12" s="30"/>
      <c r="BK12" s="30"/>
      <c r="BL12" s="30"/>
      <c r="BM12" s="30"/>
      <c r="BN12" s="30"/>
      <c r="BO12" s="29">
        <f>SUMIF($E$11:$BN$11,"HC",E12:BN12)</f>
        <v>48</v>
      </c>
      <c r="BP12" s="29">
        <f>SUMIF($E$11:$BN$11,"TCN",E12:BN12)</f>
        <v>9</v>
      </c>
      <c r="BQ12" s="29">
        <f t="shared" ref="BQ12:BQ13" si="0">SUMIF($E$11:$BN$11,"NN",E12:BN12)</f>
        <v>8</v>
      </c>
      <c r="BR12" s="29">
        <f t="shared" ref="BR12:BR13" si="1">SUMIF($E$11:$BN$11,"TCNN",E12:BN12)</f>
        <v>0</v>
      </c>
      <c r="BS12" s="18"/>
    </row>
    <row r="13" spans="1:71" s="19" customFormat="1" ht="29.5" customHeight="1">
      <c r="A13" s="50" t="s">
        <v>28</v>
      </c>
      <c r="B13" s="51" t="s">
        <v>42</v>
      </c>
      <c r="C13" s="52" t="s">
        <v>39</v>
      </c>
      <c r="D13" s="17"/>
      <c r="E13" s="30">
        <v>8</v>
      </c>
      <c r="F13" s="30">
        <v>3</v>
      </c>
      <c r="G13" s="30">
        <v>8</v>
      </c>
      <c r="H13" s="30">
        <v>3</v>
      </c>
      <c r="I13" s="30">
        <v>8</v>
      </c>
      <c r="J13" s="30"/>
      <c r="K13" s="30">
        <v>8</v>
      </c>
      <c r="L13" s="30">
        <v>3</v>
      </c>
      <c r="M13" s="30">
        <v>8</v>
      </c>
      <c r="N13" s="30"/>
      <c r="O13" s="30">
        <v>8</v>
      </c>
      <c r="P13" s="30"/>
      <c r="Q13" s="28">
        <v>8</v>
      </c>
      <c r="R13" s="28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28"/>
      <c r="AF13" s="28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28"/>
      <c r="AT13" s="28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28"/>
      <c r="BH13" s="28"/>
      <c r="BI13" s="30"/>
      <c r="BJ13" s="30"/>
      <c r="BK13" s="30"/>
      <c r="BL13" s="30"/>
      <c r="BM13" s="30"/>
      <c r="BN13" s="30"/>
      <c r="BO13" s="29">
        <f t="shared" ref="BO13" si="2">SUMIF($E$11:$BN$11,"HC",E13:BN13)</f>
        <v>48</v>
      </c>
      <c r="BP13" s="29">
        <f t="shared" ref="BP13" si="3">SUMIF($E$11:$BN$11,"TCN",E13:BN13)</f>
        <v>9</v>
      </c>
      <c r="BQ13" s="29">
        <f t="shared" si="0"/>
        <v>8</v>
      </c>
      <c r="BR13" s="29">
        <f t="shared" si="1"/>
        <v>0</v>
      </c>
      <c r="BS13" s="18"/>
    </row>
    <row r="14" spans="1:71" s="19" customFormat="1" ht="29.5" customHeight="1">
      <c r="A14" s="50" t="s">
        <v>29</v>
      </c>
      <c r="B14" s="53" t="s">
        <v>50</v>
      </c>
      <c r="C14" s="54" t="s">
        <v>47</v>
      </c>
      <c r="D14" s="41"/>
      <c r="E14" s="30"/>
      <c r="F14" s="30"/>
      <c r="G14" s="30">
        <v>8</v>
      </c>
      <c r="H14" s="30"/>
      <c r="I14" s="30">
        <v>8</v>
      </c>
      <c r="J14" s="30"/>
      <c r="K14" s="30">
        <v>8</v>
      </c>
      <c r="L14" s="30"/>
      <c r="M14" s="30">
        <v>8</v>
      </c>
      <c r="N14" s="30">
        <v>3</v>
      </c>
      <c r="O14" s="30"/>
      <c r="P14" s="30"/>
      <c r="Q14" s="28"/>
      <c r="R14" s="28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28"/>
      <c r="AF14" s="28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28"/>
      <c r="AT14" s="28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28"/>
      <c r="BH14" s="28"/>
      <c r="BI14" s="30"/>
      <c r="BJ14" s="30"/>
      <c r="BK14" s="30"/>
      <c r="BL14" s="30"/>
      <c r="BM14" s="30"/>
      <c r="BN14" s="30"/>
      <c r="BO14" s="29">
        <f>SUMIF($E$11:$BN$11,"HC",E14:BN14)</f>
        <v>32</v>
      </c>
      <c r="BP14" s="29">
        <f>SUMIF($E$11:$BN$11,"TCN",E14:BN14)</f>
        <v>3</v>
      </c>
      <c r="BQ14" s="29">
        <f>SUMIF($E$11:$BN$11,"NN",E14:BN14)</f>
        <v>0</v>
      </c>
      <c r="BR14" s="29">
        <f>SUMIF($E$11:$BN$11,"TCNN",E14:BN14)</f>
        <v>0</v>
      </c>
      <c r="BS14" s="18"/>
    </row>
    <row r="15" spans="1:71" s="19" customFormat="1" ht="29.5" customHeight="1">
      <c r="A15" s="50" t="s">
        <v>30</v>
      </c>
      <c r="B15" s="53" t="s">
        <v>51</v>
      </c>
      <c r="C15" s="54" t="s">
        <v>48</v>
      </c>
      <c r="D15" s="41"/>
      <c r="E15" s="30"/>
      <c r="F15" s="30"/>
      <c r="G15" s="30"/>
      <c r="H15" s="30"/>
      <c r="I15" s="30">
        <v>8</v>
      </c>
      <c r="J15" s="30"/>
      <c r="K15" s="30">
        <v>8</v>
      </c>
      <c r="L15" s="30">
        <v>3</v>
      </c>
      <c r="M15" s="30">
        <v>8</v>
      </c>
      <c r="N15" s="30">
        <v>3</v>
      </c>
      <c r="O15" s="30">
        <v>8</v>
      </c>
      <c r="P15" s="30"/>
      <c r="Q15" s="28"/>
      <c r="R15" s="28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28"/>
      <c r="AF15" s="28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28"/>
      <c r="AT15" s="28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28"/>
      <c r="BH15" s="28"/>
      <c r="BI15" s="30"/>
      <c r="BJ15" s="30"/>
      <c r="BK15" s="30"/>
      <c r="BL15" s="30"/>
      <c r="BM15" s="30"/>
      <c r="BN15" s="30"/>
      <c r="BO15" s="29">
        <f t="shared" ref="BO15" si="4">SUMIF($E$11:$BN$11,"HC",E15:BN15)</f>
        <v>32</v>
      </c>
      <c r="BP15" s="29">
        <f t="shared" ref="BP15" si="5">SUMIF($E$11:$BN$11,"TCN",E15:BN15)</f>
        <v>6</v>
      </c>
      <c r="BQ15" s="29">
        <f t="shared" ref="BQ15" si="6">SUMIF($E$11:$BN$11,"NN",E15:BN15)</f>
        <v>0</v>
      </c>
      <c r="BR15" s="29">
        <f t="shared" ref="BR15" si="7">SUMIF($E$11:$BN$11,"TCNN",E15:BN15)</f>
        <v>0</v>
      </c>
      <c r="BS15" s="18"/>
    </row>
    <row r="16" spans="1:71" s="19" customFormat="1" ht="29.5" customHeight="1">
      <c r="A16" s="50" t="s">
        <v>31</v>
      </c>
      <c r="B16" s="53" t="s">
        <v>52</v>
      </c>
      <c r="C16" s="54" t="s">
        <v>49</v>
      </c>
      <c r="D16" s="41"/>
      <c r="E16" s="30"/>
      <c r="F16" s="30"/>
      <c r="G16" s="30"/>
      <c r="H16" s="30"/>
      <c r="I16" s="30">
        <v>8</v>
      </c>
      <c r="J16" s="30"/>
      <c r="K16" s="30">
        <v>8</v>
      </c>
      <c r="L16" s="30"/>
      <c r="M16" s="30">
        <v>8</v>
      </c>
      <c r="N16" s="30"/>
      <c r="O16" s="30">
        <v>8</v>
      </c>
      <c r="P16" s="30"/>
      <c r="Q16" s="28"/>
      <c r="R16" s="28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28"/>
      <c r="AF16" s="28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28"/>
      <c r="AT16" s="28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28"/>
      <c r="BH16" s="28"/>
      <c r="BI16" s="30"/>
      <c r="BJ16" s="30"/>
      <c r="BK16" s="30"/>
      <c r="BL16" s="30"/>
      <c r="BM16" s="30"/>
      <c r="BN16" s="30"/>
      <c r="BO16" s="29">
        <f t="shared" ref="BO16:BO18" si="8">SUMIF($E$11:$BN$11,"HC",E16:BN16)</f>
        <v>32</v>
      </c>
      <c r="BP16" s="29">
        <f t="shared" ref="BP16:BP18" si="9">SUMIF($E$11:$BN$11,"TCN",E16:BN16)</f>
        <v>0</v>
      </c>
      <c r="BQ16" s="29">
        <f t="shared" ref="BQ16:BQ18" si="10">SUMIF($E$11:$BN$11,"NN",E16:BN16)</f>
        <v>0</v>
      </c>
      <c r="BR16" s="29">
        <f t="shared" ref="BR16:BR18" si="11">SUMIF($E$11:$BN$11,"TCNN",E16:BN16)</f>
        <v>0</v>
      </c>
      <c r="BS16" s="18"/>
    </row>
    <row r="17" spans="1:71" s="19" customFormat="1" ht="29.5" customHeight="1">
      <c r="A17" s="50"/>
      <c r="B17" s="53"/>
      <c r="C17" s="54"/>
      <c r="D17" s="41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28"/>
      <c r="R17" s="28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28"/>
      <c r="AF17" s="28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28"/>
      <c r="AT17" s="28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28"/>
      <c r="BH17" s="28"/>
      <c r="BI17" s="30"/>
      <c r="BJ17" s="30"/>
      <c r="BK17" s="30"/>
      <c r="BL17" s="30"/>
      <c r="BM17" s="30"/>
      <c r="BN17" s="30"/>
      <c r="BO17" s="29">
        <f t="shared" si="8"/>
        <v>0</v>
      </c>
      <c r="BP17" s="29">
        <f t="shared" si="9"/>
        <v>0</v>
      </c>
      <c r="BQ17" s="29">
        <f t="shared" si="10"/>
        <v>0</v>
      </c>
      <c r="BR17" s="29">
        <f t="shared" si="11"/>
        <v>0</v>
      </c>
      <c r="BS17" s="18"/>
    </row>
    <row r="18" spans="1:71" s="19" customFormat="1" ht="29.5" customHeight="1">
      <c r="A18" s="48"/>
      <c r="B18" s="39"/>
      <c r="C18" s="40"/>
      <c r="D18" s="41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28"/>
      <c r="R18" s="28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28"/>
      <c r="AF18" s="28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28"/>
      <c r="AT18" s="28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28"/>
      <c r="BH18" s="28"/>
      <c r="BI18" s="30"/>
      <c r="BJ18" s="30"/>
      <c r="BK18" s="30"/>
      <c r="BL18" s="30"/>
      <c r="BM18" s="30"/>
      <c r="BN18" s="30"/>
      <c r="BO18" s="29">
        <f t="shared" si="8"/>
        <v>0</v>
      </c>
      <c r="BP18" s="29">
        <f t="shared" si="9"/>
        <v>0</v>
      </c>
      <c r="BQ18" s="29">
        <f t="shared" si="10"/>
        <v>0</v>
      </c>
      <c r="BR18" s="29">
        <f t="shared" si="11"/>
        <v>0</v>
      </c>
      <c r="BS18" s="18"/>
    </row>
    <row r="19" spans="1:71" s="14" customFormat="1" ht="39.75" customHeight="1">
      <c r="A19" s="82" t="s">
        <v>4</v>
      </c>
      <c r="B19" s="83"/>
      <c r="C19" s="83"/>
      <c r="D19" s="84"/>
      <c r="E19" s="20">
        <f>COUNT(E12:E14)</f>
        <v>2</v>
      </c>
      <c r="F19" s="20">
        <f>COUNT(F12:F14)</f>
        <v>2</v>
      </c>
      <c r="G19" s="20">
        <f>COUNT(G12:G14)</f>
        <v>3</v>
      </c>
      <c r="H19" s="20">
        <f>COUNT(H12:H14)</f>
        <v>2</v>
      </c>
      <c r="I19" s="20">
        <f>COUNT(I12:I16)</f>
        <v>5</v>
      </c>
      <c r="J19" s="20">
        <f>COUNT(J12:J14)</f>
        <v>0</v>
      </c>
      <c r="K19" s="20">
        <f>COUNT(K12:K16)</f>
        <v>5</v>
      </c>
      <c r="L19" s="20">
        <f>COUNT(L12:L15)</f>
        <v>3</v>
      </c>
      <c r="M19" s="20">
        <f>COUNT(M12:M16)</f>
        <v>5</v>
      </c>
      <c r="N19" s="20">
        <f>COUNT(N12:N14)</f>
        <v>1</v>
      </c>
      <c r="O19" s="20">
        <f>COUNT(O12:O16)</f>
        <v>4</v>
      </c>
      <c r="P19" s="20">
        <f>COUNT(P12:P14)</f>
        <v>0</v>
      </c>
      <c r="Q19" s="20">
        <f>COUNT(Q12:Q14)</f>
        <v>2</v>
      </c>
      <c r="R19" s="20">
        <f>COUNT(R12:R14)</f>
        <v>0</v>
      </c>
      <c r="S19" s="20">
        <f>COUNT(S12:S14)</f>
        <v>0</v>
      </c>
      <c r="T19" s="20">
        <f>COUNT(T12:T14)</f>
        <v>0</v>
      </c>
      <c r="U19" s="20">
        <f>COUNT(U12:U14)</f>
        <v>0</v>
      </c>
      <c r="V19" s="20">
        <f>COUNT(V12:V14)</f>
        <v>0</v>
      </c>
      <c r="W19" s="20">
        <f>COUNT(W12:W14)</f>
        <v>0</v>
      </c>
      <c r="X19" s="20">
        <f>COUNT(X12:X14)</f>
        <v>0</v>
      </c>
      <c r="Y19" s="20">
        <f>COUNT(Y12:Y14)</f>
        <v>0</v>
      </c>
      <c r="Z19" s="20">
        <f>COUNT(Z12:Z14)</f>
        <v>0</v>
      </c>
      <c r="AA19" s="20">
        <f>COUNT(AA12:AA14)</f>
        <v>0</v>
      </c>
      <c r="AB19" s="20">
        <f>COUNT(AB12:AB14)</f>
        <v>0</v>
      </c>
      <c r="AC19" s="20">
        <f>COUNT(AC12:AC14)</f>
        <v>0</v>
      </c>
      <c r="AD19" s="20">
        <f>COUNT(AD12:AD14)</f>
        <v>0</v>
      </c>
      <c r="AE19" s="20">
        <f>COUNT(AE12:AE14)</f>
        <v>0</v>
      </c>
      <c r="AF19" s="20">
        <f>COUNT(AF12:AF14)</f>
        <v>0</v>
      </c>
      <c r="AG19" s="20">
        <f>COUNT(AG12:AG14)</f>
        <v>0</v>
      </c>
      <c r="AH19" s="20">
        <f>COUNT(AH12:AH14)</f>
        <v>0</v>
      </c>
      <c r="AI19" s="20">
        <f>COUNT(AI12:AI14)</f>
        <v>0</v>
      </c>
      <c r="AJ19" s="20">
        <f>COUNT(AJ12:AJ14)</f>
        <v>0</v>
      </c>
      <c r="AK19" s="20">
        <f>COUNT(AK12:AK14)</f>
        <v>0</v>
      </c>
      <c r="AL19" s="20">
        <f>COUNT(AL12:AL14)</f>
        <v>0</v>
      </c>
      <c r="AM19" s="20">
        <f>COUNT(AM12:AM14)</f>
        <v>0</v>
      </c>
      <c r="AN19" s="20">
        <f>COUNT(AN12:AN14)</f>
        <v>0</v>
      </c>
      <c r="AO19" s="20">
        <f>COUNT(AO12:AO14)</f>
        <v>0</v>
      </c>
      <c r="AP19" s="20">
        <f>COUNT(AP12:AP14)</f>
        <v>0</v>
      </c>
      <c r="AQ19" s="20">
        <f>COUNT(AQ12:AQ14)</f>
        <v>0</v>
      </c>
      <c r="AR19" s="20">
        <f>COUNT(AR12:AR14)</f>
        <v>0</v>
      </c>
      <c r="AS19" s="20">
        <f>COUNT(AS12:AS14)</f>
        <v>0</v>
      </c>
      <c r="AT19" s="20">
        <f>COUNT(AT12:AT14)</f>
        <v>0</v>
      </c>
      <c r="AU19" s="20">
        <f>COUNT(AU12:AU14)</f>
        <v>0</v>
      </c>
      <c r="AV19" s="20">
        <f>COUNT(AV12:AV14)</f>
        <v>0</v>
      </c>
      <c r="AW19" s="20">
        <f>COUNT(AW12:AW14)</f>
        <v>0</v>
      </c>
      <c r="AX19" s="20">
        <f>COUNT(AX12:AX14)</f>
        <v>0</v>
      </c>
      <c r="AY19" s="20">
        <f>COUNT(AY12:AY14)</f>
        <v>0</v>
      </c>
      <c r="AZ19" s="20">
        <f>COUNT(AZ12:AZ14)</f>
        <v>0</v>
      </c>
      <c r="BA19" s="20">
        <f>COUNT(BA12:BA15)</f>
        <v>0</v>
      </c>
      <c r="BB19" s="20">
        <f>COUNT(BB12:BB14)</f>
        <v>0</v>
      </c>
      <c r="BC19" s="20">
        <f>COUNT(BC12:BC14)</f>
        <v>0</v>
      </c>
      <c r="BD19" s="20">
        <f>COUNT(BD12:BD14)</f>
        <v>0</v>
      </c>
      <c r="BE19" s="20">
        <f>COUNT(BE12:BE14)</f>
        <v>0</v>
      </c>
      <c r="BF19" s="20">
        <f>COUNT(BF12:BF14)</f>
        <v>0</v>
      </c>
      <c r="BG19" s="20">
        <f>COUNT(BG12:BG14)</f>
        <v>0</v>
      </c>
      <c r="BH19" s="20">
        <f>COUNT(BH12:BH14)</f>
        <v>0</v>
      </c>
      <c r="BI19" s="20">
        <f>COUNT(BI12:BI14)</f>
        <v>0</v>
      </c>
      <c r="BJ19" s="20">
        <f>COUNT(BJ12:BJ14)</f>
        <v>0</v>
      </c>
      <c r="BK19" s="20">
        <f>COUNT(BK12:BK14)</f>
        <v>0</v>
      </c>
      <c r="BL19" s="20">
        <f>COUNT(BL12:BL14)</f>
        <v>0</v>
      </c>
      <c r="BM19" s="20">
        <f>COUNT(BM12:BM14)</f>
        <v>0</v>
      </c>
      <c r="BN19" s="20">
        <f>COUNT(BN12:BN14)</f>
        <v>0</v>
      </c>
      <c r="BO19" s="21">
        <f>SUM(BO12:BO18)</f>
        <v>192</v>
      </c>
      <c r="BP19" s="21">
        <f>SUM(BP12:BP18)</f>
        <v>27</v>
      </c>
      <c r="BQ19" s="21">
        <f>SUM(BQ12:BQ18)</f>
        <v>16</v>
      </c>
      <c r="BR19" s="21">
        <f>SUM(BR12:BR18)</f>
        <v>0</v>
      </c>
      <c r="BS19" s="22"/>
    </row>
    <row r="20" spans="1:71" s="27" customFormat="1" ht="39.75" customHeight="1">
      <c r="A20" s="46"/>
      <c r="B20" s="23"/>
      <c r="C20" s="23"/>
      <c r="D20" s="23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5"/>
      <c r="BP20" s="25"/>
      <c r="BQ20" s="25"/>
      <c r="BR20" s="25"/>
      <c r="BS20" s="26"/>
    </row>
    <row r="21" spans="1:71" ht="39.75" customHeight="1">
      <c r="D21" s="3" t="s">
        <v>15</v>
      </c>
      <c r="H21" s="5"/>
      <c r="I21" s="3"/>
      <c r="J21" s="3"/>
      <c r="K21" s="3"/>
      <c r="L21" s="3"/>
      <c r="M21" s="3"/>
      <c r="N21" s="3"/>
      <c r="O21" s="5"/>
      <c r="P21" s="5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71" ht="39.75" customHeight="1">
      <c r="D22" s="10" t="s">
        <v>16</v>
      </c>
      <c r="H22" s="5"/>
      <c r="I22" s="3"/>
      <c r="J22" s="3"/>
      <c r="K22" s="3"/>
      <c r="L22" s="3"/>
      <c r="M22" s="3"/>
      <c r="N22" s="3"/>
      <c r="O22" s="5"/>
      <c r="P22" s="5"/>
    </row>
    <row r="23" spans="1:71" ht="39.75" customHeight="1">
      <c r="D23" s="5"/>
      <c r="H23" s="5"/>
      <c r="I23" s="3"/>
      <c r="J23" s="3"/>
      <c r="K23" s="3"/>
      <c r="L23" s="3"/>
      <c r="M23" s="3"/>
      <c r="N23" s="3"/>
      <c r="O23" s="5"/>
      <c r="P23" s="5"/>
    </row>
    <row r="24" spans="1:71" ht="39.75" customHeight="1">
      <c r="D24" s="5"/>
      <c r="H24" s="5"/>
      <c r="I24" s="3"/>
      <c r="J24" s="3"/>
      <c r="K24" s="3"/>
      <c r="L24" s="3"/>
      <c r="M24" s="3"/>
      <c r="N24" s="3"/>
      <c r="O24" s="5"/>
      <c r="P24" s="5"/>
    </row>
    <row r="25" spans="1:71" ht="39.75" customHeight="1">
      <c r="D25" s="5"/>
      <c r="H25" s="5"/>
      <c r="I25" s="3"/>
      <c r="J25" s="3"/>
      <c r="K25" s="3"/>
      <c r="L25" s="3"/>
      <c r="M25" s="3"/>
      <c r="N25" s="3"/>
      <c r="O25" s="5"/>
      <c r="P25" s="5"/>
    </row>
    <row r="26" spans="1:71" ht="39.75" customHeight="1">
      <c r="D26" s="11" t="s">
        <v>22</v>
      </c>
      <c r="H26" s="5"/>
      <c r="I26" s="3"/>
      <c r="J26" s="3"/>
      <c r="K26" s="3"/>
      <c r="L26" s="3"/>
      <c r="M26" s="3"/>
      <c r="N26" s="3"/>
      <c r="O26" s="5"/>
      <c r="P26" s="5"/>
    </row>
  </sheetData>
  <mergeCells count="71">
    <mergeCell ref="AU8:AV8"/>
    <mergeCell ref="AM8:AN8"/>
    <mergeCell ref="AO8:AP8"/>
    <mergeCell ref="S8:T8"/>
    <mergeCell ref="U8:V8"/>
    <mergeCell ref="W8:X8"/>
    <mergeCell ref="Y8:Z8"/>
    <mergeCell ref="AA8:AB8"/>
    <mergeCell ref="AO9:AP9"/>
    <mergeCell ref="AC9:AD9"/>
    <mergeCell ref="AQ9:AR9"/>
    <mergeCell ref="AS9:AT9"/>
    <mergeCell ref="AU9:AV9"/>
    <mergeCell ref="AE9:AF9"/>
    <mergeCell ref="AG9:AH9"/>
    <mergeCell ref="AI9:AJ9"/>
    <mergeCell ref="AK9:AL9"/>
    <mergeCell ref="AM9:AN9"/>
    <mergeCell ref="BE8:BF8"/>
    <mergeCell ref="E8:F8"/>
    <mergeCell ref="G8:H8"/>
    <mergeCell ref="AW8:AX8"/>
    <mergeCell ref="I8:J8"/>
    <mergeCell ref="K8:L8"/>
    <mergeCell ref="M8:N8"/>
    <mergeCell ref="O8:P8"/>
    <mergeCell ref="Q8:R8"/>
    <mergeCell ref="AC8:AD8"/>
    <mergeCell ref="AE8:AF8"/>
    <mergeCell ref="AG8:AH8"/>
    <mergeCell ref="AI8:AJ8"/>
    <mergeCell ref="AK8:AL8"/>
    <mergeCell ref="AQ8:AR8"/>
    <mergeCell ref="AS8:AT8"/>
    <mergeCell ref="BE9:BF9"/>
    <mergeCell ref="BG9:BH9"/>
    <mergeCell ref="BI9:BJ9"/>
    <mergeCell ref="BK9:BL9"/>
    <mergeCell ref="BM9:BN9"/>
    <mergeCell ref="BA8:BB8"/>
    <mergeCell ref="A19:D19"/>
    <mergeCell ref="AY9:AZ9"/>
    <mergeCell ref="BA9:BB9"/>
    <mergeCell ref="BC9:BD9"/>
    <mergeCell ref="BC8:BD8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W9:AX9"/>
    <mergeCell ref="AY8:AZ8"/>
    <mergeCell ref="A4:BB4"/>
    <mergeCell ref="A8:A11"/>
    <mergeCell ref="B8:B11"/>
    <mergeCell ref="C8:C11"/>
    <mergeCell ref="D8:D11"/>
    <mergeCell ref="A5:BS5"/>
    <mergeCell ref="BS8:BS11"/>
    <mergeCell ref="G9:H9"/>
    <mergeCell ref="I9:J9"/>
    <mergeCell ref="E9:F9"/>
    <mergeCell ref="BG8:BH8"/>
    <mergeCell ref="BI8:BJ8"/>
    <mergeCell ref="BK8:BL8"/>
    <mergeCell ref="BM8:BN8"/>
    <mergeCell ref="BO8:BR10"/>
  </mergeCells>
  <phoneticPr fontId="21" type="noConversion"/>
  <conditionalFormatting sqref="E8:E10 G8:G10 I8:I10 K8:K10 M8:M10 O8:O10 Q8:Q10 S8:S10 U8:U10 W8:W10 Y8:Y10 AA8:AA10 AC8:AC10 AE8:AE10 AG8:AG10 AI8:AI10 AK8:AK10 AM8:AM10 AO8:AO10 AQ8:AQ10 AS8:AS10 AU8:AU10 AW8:AW10 AY8:AY10 BA8:BA10 BC8:BC10 BE8:BE10 BG8:BG10 BI8:BI10 BK8:BK10 BM9:BM10">
    <cfRule type="expression" dxfId="2" priority="15">
      <formula>IF(OR(G$11="CN",G$11="OT CN"),1,0)</formula>
    </cfRule>
  </conditionalFormatting>
  <conditionalFormatting sqref="E12:BN20">
    <cfRule type="expression" dxfId="1" priority="10">
      <formula>IF(OR(E$11="CN",E$11="OT CN"),1,0)</formula>
    </cfRule>
  </conditionalFormatting>
  <conditionalFormatting sqref="BM8">
    <cfRule type="expression" dxfId="0" priority="16">
      <formula>IF(OR(#REF!="CN",#REF!="OT CN"),1,0)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" operator="containsText" id="{7E25D17A-53BB-47AF-A92C-713A74245A77}">
            <xm:f>NOT(ISERROR(SEARCH(#REF!,B12)))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B12:C18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68B65-3415-45D2-9E90-37B03054DF59}">
  <dimension ref="A1:E12"/>
  <sheetViews>
    <sheetView zoomScale="90" zoomScaleNormal="90" workbookViewId="0">
      <selection activeCell="E8" sqref="E8"/>
    </sheetView>
  </sheetViews>
  <sheetFormatPr baseColWidth="10" defaultColWidth="8.83203125" defaultRowHeight="14"/>
  <cols>
    <col min="1" max="1" width="7.5" style="38" customWidth="1"/>
    <col min="2" max="2" width="14.6640625" style="31" customWidth="1"/>
    <col min="3" max="3" width="21.5" style="31" customWidth="1"/>
    <col min="4" max="4" width="19" style="38" customWidth="1"/>
    <col min="5" max="5" width="22.1640625" style="31" customWidth="1"/>
    <col min="6" max="6" width="14.33203125" style="31" customWidth="1"/>
    <col min="7" max="16384" width="8.83203125" style="31"/>
  </cols>
  <sheetData>
    <row r="1" spans="1:5" ht="20">
      <c r="A1" s="85" t="s">
        <v>32</v>
      </c>
      <c r="B1" s="85"/>
      <c r="C1" s="85"/>
      <c r="D1" s="85"/>
      <c r="E1" s="85"/>
    </row>
    <row r="2" spans="1:5" s="34" customFormat="1" ht="16">
      <c r="A2" s="32" t="s">
        <v>33</v>
      </c>
      <c r="B2" s="33" t="s">
        <v>23</v>
      </c>
      <c r="C2" s="33" t="s">
        <v>24</v>
      </c>
      <c r="D2" s="32" t="s">
        <v>25</v>
      </c>
      <c r="E2" s="33" t="s">
        <v>34</v>
      </c>
    </row>
    <row r="3" spans="1:5" ht="21" customHeight="1">
      <c r="A3" s="35" t="s">
        <v>26</v>
      </c>
      <c r="B3" s="36" t="s">
        <v>40</v>
      </c>
      <c r="C3" s="36" t="s">
        <v>37</v>
      </c>
      <c r="D3" s="37" t="s">
        <v>43</v>
      </c>
      <c r="E3" s="36" t="s">
        <v>36</v>
      </c>
    </row>
    <row r="4" spans="1:5" ht="21" customHeight="1">
      <c r="A4" s="35" t="s">
        <v>27</v>
      </c>
      <c r="B4" s="36" t="s">
        <v>41</v>
      </c>
      <c r="C4" s="36" t="s">
        <v>38</v>
      </c>
      <c r="D4" s="37" t="s">
        <v>46</v>
      </c>
      <c r="E4" s="36" t="s">
        <v>45</v>
      </c>
    </row>
    <row r="5" spans="1:5" ht="21" customHeight="1">
      <c r="A5" s="35" t="s">
        <v>28</v>
      </c>
      <c r="B5" s="36" t="s">
        <v>42</v>
      </c>
      <c r="C5" s="36" t="s">
        <v>39</v>
      </c>
      <c r="D5" s="37" t="s">
        <v>44</v>
      </c>
      <c r="E5" s="36" t="s">
        <v>45</v>
      </c>
    </row>
    <row r="6" spans="1:5" ht="21" customHeight="1">
      <c r="A6" s="35" t="s">
        <v>29</v>
      </c>
      <c r="B6" s="36" t="s">
        <v>50</v>
      </c>
      <c r="C6" s="36" t="s">
        <v>47</v>
      </c>
      <c r="D6" s="37" t="s">
        <v>53</v>
      </c>
      <c r="E6" s="36" t="s">
        <v>35</v>
      </c>
    </row>
    <row r="7" spans="1:5" ht="21" customHeight="1">
      <c r="A7" s="35" t="s">
        <v>30</v>
      </c>
      <c r="B7" s="36" t="s">
        <v>51</v>
      </c>
      <c r="C7" s="36" t="s">
        <v>48</v>
      </c>
      <c r="D7" s="37" t="s">
        <v>55</v>
      </c>
      <c r="E7" s="36" t="s">
        <v>45</v>
      </c>
    </row>
    <row r="8" spans="1:5" ht="21" customHeight="1">
      <c r="A8" s="35" t="s">
        <v>31</v>
      </c>
      <c r="B8" s="36" t="s">
        <v>52</v>
      </c>
      <c r="C8" s="36" t="s">
        <v>49</v>
      </c>
      <c r="D8" s="37" t="s">
        <v>54</v>
      </c>
      <c r="E8" s="36" t="s">
        <v>45</v>
      </c>
    </row>
    <row r="9" spans="1:5" ht="21" customHeight="1">
      <c r="A9" s="35"/>
      <c r="B9" s="36"/>
      <c r="C9" s="36"/>
      <c r="D9" s="37"/>
      <c r="E9" s="36"/>
    </row>
    <row r="10" spans="1:5" ht="21" customHeight="1">
      <c r="A10" s="35"/>
      <c r="B10" s="36"/>
      <c r="C10" s="36"/>
      <c r="D10" s="37"/>
      <c r="E10" s="36"/>
    </row>
    <row r="11" spans="1:5" ht="21" customHeight="1">
      <c r="A11" s="35"/>
      <c r="B11" s="36"/>
      <c r="C11" s="36"/>
      <c r="D11" s="37"/>
      <c r="E11" s="36"/>
    </row>
    <row r="12" spans="1:5" ht="21" customHeight="1">
      <c r="A12" s="35"/>
      <c r="B12" s="36"/>
      <c r="C12" s="36"/>
      <c r="D12" s="37"/>
      <c r="E12" s="36"/>
    </row>
  </sheetData>
  <mergeCells count="1">
    <mergeCell ref="A1:E1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BCC </vt:lpstr>
      <vt:lpstr>STK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Thi Thoa</dc:creator>
  <cp:lastModifiedBy>Frank Nguyen</cp:lastModifiedBy>
  <cp:lastPrinted>2023-07-06T10:05:33Z</cp:lastPrinted>
  <dcterms:created xsi:type="dcterms:W3CDTF">2019-01-05T09:11:00Z</dcterms:created>
  <dcterms:modified xsi:type="dcterms:W3CDTF">2026-06-10T15:33:12Z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  <property fmtid="{D5CDD505-2E9C-101B-9397-08002B2CF9AE}" pid="3" name="KSOReadingLayout">
    <vt:bool>false</vt:bool>
  </property>
</Properties>
</file>