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dev/Documents/projects/payroll/docs/timesheets-excel/"/>
    </mc:Choice>
  </mc:AlternateContent>
  <xr:revisionPtr revIDLastSave="0" documentId="13_ncr:1_{F48D5D33-7FF6-3D46-983D-950936728889}" xr6:coauthVersionLast="47" xr6:coauthVersionMax="47" xr10:uidLastSave="{00000000-0000-0000-0000-000000000000}"/>
  <bookViews>
    <workbookView xWindow="0" yWindow="600" windowWidth="37640" windowHeight="18940" xr2:uid="{00000000-000D-0000-FFFF-FFFF00000000}"/>
  </bookViews>
  <sheets>
    <sheet name="BCC" sheetId="1" r:id="rId1"/>
    <sheet name="STK" sheetId="3" r:id="rId2"/>
  </sheets>
  <definedNames>
    <definedName name="_xlnm._FilterDatabase" localSheetId="0" hidden="1">BCC!$A$9:$AT$120</definedName>
    <definedName name="_xlnm._FilterDatabase" localSheetId="1" hidden="1">STK!$A$3:$N$35</definedName>
    <definedName name="_xlnm.Print_Area" localSheetId="0">BCC!$A$1:$AI$120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5" i="1" l="1"/>
  <c r="AK45" i="1"/>
  <c r="AL45" i="1"/>
  <c r="AM45" i="1"/>
  <c r="AN45" i="1"/>
  <c r="AO45" i="1"/>
  <c r="AP45" i="1"/>
  <c r="AQ45" i="1"/>
  <c r="AJ46" i="1"/>
  <c r="AK46" i="1"/>
  <c r="AL46" i="1"/>
  <c r="AM46" i="1"/>
  <c r="AN46" i="1"/>
  <c r="AO46" i="1"/>
  <c r="AP46" i="1"/>
  <c r="AQ46" i="1"/>
  <c r="AJ47" i="1"/>
  <c r="AK47" i="1"/>
  <c r="AL47" i="1"/>
  <c r="AM47" i="1"/>
  <c r="AN47" i="1"/>
  <c r="AO47" i="1"/>
  <c r="AP47" i="1"/>
  <c r="AQ47" i="1"/>
  <c r="AJ48" i="1"/>
  <c r="AK48" i="1"/>
  <c r="AL48" i="1"/>
  <c r="AM48" i="1"/>
  <c r="AN48" i="1"/>
  <c r="AO48" i="1"/>
  <c r="AP48" i="1"/>
  <c r="AQ48" i="1"/>
  <c r="AJ49" i="1"/>
  <c r="AK49" i="1"/>
  <c r="AL49" i="1"/>
  <c r="AM49" i="1"/>
  <c r="AN49" i="1"/>
  <c r="AO49" i="1"/>
  <c r="AP49" i="1"/>
  <c r="AQ49" i="1"/>
  <c r="AJ50" i="1"/>
  <c r="AK50" i="1"/>
  <c r="AL50" i="1"/>
  <c r="AM50" i="1"/>
  <c r="AN50" i="1"/>
  <c r="AO50" i="1"/>
  <c r="AP50" i="1"/>
  <c r="AQ50" i="1"/>
  <c r="AJ51" i="1"/>
  <c r="AK51" i="1"/>
  <c r="AL51" i="1"/>
  <c r="AM51" i="1"/>
  <c r="AN51" i="1"/>
  <c r="AO51" i="1"/>
  <c r="AP51" i="1"/>
  <c r="AQ51" i="1"/>
  <c r="AJ52" i="1"/>
  <c r="AK52" i="1"/>
  <c r="AL52" i="1"/>
  <c r="AM52" i="1"/>
  <c r="AN52" i="1"/>
  <c r="AO52" i="1"/>
  <c r="AP52" i="1"/>
  <c r="AQ52" i="1"/>
  <c r="AJ53" i="1"/>
  <c r="AK53" i="1"/>
  <c r="AL53" i="1"/>
  <c r="AM53" i="1"/>
  <c r="AN53" i="1"/>
  <c r="AO53" i="1"/>
  <c r="AP53" i="1"/>
  <c r="AQ53" i="1"/>
  <c r="AJ54" i="1"/>
  <c r="AK54" i="1"/>
  <c r="AL54" i="1"/>
  <c r="AM54" i="1"/>
  <c r="AN54" i="1"/>
  <c r="AO54" i="1"/>
  <c r="AP54" i="1"/>
  <c r="AQ54" i="1"/>
  <c r="AJ55" i="1"/>
  <c r="AK55" i="1"/>
  <c r="AL55" i="1"/>
  <c r="AM55" i="1"/>
  <c r="AN55" i="1"/>
  <c r="AO55" i="1"/>
  <c r="AP55" i="1"/>
  <c r="AQ55" i="1"/>
  <c r="AJ56" i="1"/>
  <c r="AK56" i="1"/>
  <c r="AL56" i="1"/>
  <c r="AM56" i="1"/>
  <c r="AN56" i="1"/>
  <c r="AO56" i="1"/>
  <c r="AP56" i="1"/>
  <c r="AQ56" i="1"/>
  <c r="AJ57" i="1"/>
  <c r="AK57" i="1"/>
  <c r="AL57" i="1"/>
  <c r="AM57" i="1"/>
  <c r="AN57" i="1"/>
  <c r="AO57" i="1"/>
  <c r="AP57" i="1"/>
  <c r="AQ57" i="1"/>
  <c r="AJ58" i="1"/>
  <c r="AK58" i="1"/>
  <c r="AL58" i="1"/>
  <c r="AM58" i="1"/>
  <c r="AN58" i="1"/>
  <c r="AO58" i="1"/>
  <c r="AP58" i="1"/>
  <c r="AQ58" i="1"/>
  <c r="AJ59" i="1"/>
  <c r="AK59" i="1"/>
  <c r="AL59" i="1"/>
  <c r="AM59" i="1"/>
  <c r="AN59" i="1"/>
  <c r="AO59" i="1"/>
  <c r="AP59" i="1"/>
  <c r="AQ59" i="1"/>
  <c r="AJ60" i="1"/>
  <c r="AK60" i="1"/>
  <c r="AL60" i="1"/>
  <c r="AM60" i="1"/>
  <c r="AN60" i="1"/>
  <c r="AO60" i="1"/>
  <c r="AP60" i="1"/>
  <c r="AQ60" i="1"/>
  <c r="AJ61" i="1"/>
  <c r="AK61" i="1"/>
  <c r="AL61" i="1"/>
  <c r="AM61" i="1"/>
  <c r="AN61" i="1"/>
  <c r="AO61" i="1"/>
  <c r="AP61" i="1"/>
  <c r="AQ61" i="1"/>
  <c r="AJ62" i="1"/>
  <c r="AK62" i="1"/>
  <c r="AL62" i="1"/>
  <c r="AM62" i="1"/>
  <c r="AN62" i="1"/>
  <c r="AO62" i="1"/>
  <c r="AP62" i="1"/>
  <c r="AQ62" i="1"/>
  <c r="AJ63" i="1"/>
  <c r="AK63" i="1"/>
  <c r="AL63" i="1"/>
  <c r="AM63" i="1"/>
  <c r="AN63" i="1"/>
  <c r="AO63" i="1"/>
  <c r="AP63" i="1"/>
  <c r="AQ63" i="1"/>
  <c r="AJ64" i="1"/>
  <c r="AK64" i="1"/>
  <c r="AL64" i="1"/>
  <c r="AM64" i="1"/>
  <c r="AN64" i="1"/>
  <c r="AO64" i="1"/>
  <c r="AP64" i="1"/>
  <c r="AQ64" i="1"/>
  <c r="AJ65" i="1"/>
  <c r="AK65" i="1"/>
  <c r="AL65" i="1"/>
  <c r="AM65" i="1"/>
  <c r="AN65" i="1"/>
  <c r="AO65" i="1"/>
  <c r="AP65" i="1"/>
  <c r="AQ65" i="1"/>
  <c r="AJ66" i="1"/>
  <c r="AK66" i="1"/>
  <c r="AL66" i="1"/>
  <c r="AM66" i="1"/>
  <c r="AN66" i="1"/>
  <c r="AO66" i="1"/>
  <c r="AP66" i="1"/>
  <c r="AQ66" i="1"/>
  <c r="AJ67" i="1"/>
  <c r="AK67" i="1"/>
  <c r="AL67" i="1"/>
  <c r="AM67" i="1"/>
  <c r="AN67" i="1"/>
  <c r="AO67" i="1"/>
  <c r="AP67" i="1"/>
  <c r="AQ67" i="1"/>
  <c r="AJ68" i="1"/>
  <c r="AK68" i="1"/>
  <c r="AL68" i="1"/>
  <c r="AM68" i="1"/>
  <c r="AN68" i="1"/>
  <c r="AO68" i="1"/>
  <c r="AP68" i="1"/>
  <c r="AQ68" i="1"/>
  <c r="AJ69" i="1"/>
  <c r="AK69" i="1"/>
  <c r="AL69" i="1"/>
  <c r="AM69" i="1"/>
  <c r="AN69" i="1"/>
  <c r="AO69" i="1"/>
  <c r="AP69" i="1"/>
  <c r="AQ69" i="1"/>
  <c r="AJ70" i="1"/>
  <c r="AK70" i="1"/>
  <c r="AL70" i="1"/>
  <c r="AM70" i="1"/>
  <c r="AN70" i="1"/>
  <c r="AO70" i="1"/>
  <c r="AP70" i="1"/>
  <c r="AQ70" i="1"/>
  <c r="AJ71" i="1"/>
  <c r="AK71" i="1"/>
  <c r="AL71" i="1"/>
  <c r="AM71" i="1"/>
  <c r="AN71" i="1"/>
  <c r="AO71" i="1"/>
  <c r="AP71" i="1"/>
  <c r="AQ71" i="1"/>
  <c r="AJ72" i="1"/>
  <c r="AK72" i="1"/>
  <c r="AL72" i="1"/>
  <c r="AM72" i="1"/>
  <c r="AN72" i="1"/>
  <c r="AO72" i="1"/>
  <c r="AP72" i="1"/>
  <c r="AQ72" i="1"/>
  <c r="AJ73" i="1"/>
  <c r="AK73" i="1"/>
  <c r="AL73" i="1"/>
  <c r="AM73" i="1"/>
  <c r="AN73" i="1"/>
  <c r="AO73" i="1"/>
  <c r="AP73" i="1"/>
  <c r="AQ73" i="1"/>
  <c r="AJ74" i="1"/>
  <c r="AK74" i="1"/>
  <c r="AL74" i="1"/>
  <c r="AM74" i="1"/>
  <c r="AN74" i="1"/>
  <c r="AO74" i="1"/>
  <c r="AP74" i="1"/>
  <c r="AQ74" i="1"/>
  <c r="AJ75" i="1"/>
  <c r="AK75" i="1"/>
  <c r="AL75" i="1"/>
  <c r="AM75" i="1"/>
  <c r="AN75" i="1"/>
  <c r="AO75" i="1"/>
  <c r="AP75" i="1"/>
  <c r="AQ75" i="1"/>
  <c r="AJ76" i="1"/>
  <c r="AK76" i="1"/>
  <c r="AL76" i="1"/>
  <c r="AM76" i="1"/>
  <c r="AN76" i="1"/>
  <c r="AO76" i="1"/>
  <c r="AP76" i="1"/>
  <c r="AQ76" i="1"/>
  <c r="AJ77" i="1"/>
  <c r="AK77" i="1"/>
  <c r="AL77" i="1"/>
  <c r="AM77" i="1"/>
  <c r="AN77" i="1"/>
  <c r="AO77" i="1"/>
  <c r="AP77" i="1"/>
  <c r="AQ77" i="1"/>
  <c r="AJ78" i="1"/>
  <c r="AK78" i="1"/>
  <c r="AL78" i="1"/>
  <c r="AM78" i="1"/>
  <c r="AN78" i="1"/>
  <c r="AO78" i="1"/>
  <c r="AP78" i="1"/>
  <c r="AQ78" i="1"/>
  <c r="AJ79" i="1"/>
  <c r="AK79" i="1"/>
  <c r="AL79" i="1"/>
  <c r="AM79" i="1"/>
  <c r="AN79" i="1"/>
  <c r="AO79" i="1"/>
  <c r="AP79" i="1"/>
  <c r="AQ79" i="1"/>
  <c r="AJ80" i="1"/>
  <c r="AK80" i="1"/>
  <c r="AL80" i="1"/>
  <c r="AM80" i="1"/>
  <c r="AN80" i="1"/>
  <c r="AO80" i="1"/>
  <c r="AP80" i="1"/>
  <c r="AQ80" i="1"/>
  <c r="AJ81" i="1"/>
  <c r="AK81" i="1"/>
  <c r="AL81" i="1"/>
  <c r="AM81" i="1"/>
  <c r="AN81" i="1"/>
  <c r="AO81" i="1"/>
  <c r="AP81" i="1"/>
  <c r="AQ81" i="1"/>
  <c r="AJ82" i="1"/>
  <c r="AK82" i="1"/>
  <c r="AL82" i="1"/>
  <c r="AM82" i="1"/>
  <c r="AN82" i="1"/>
  <c r="AO82" i="1"/>
  <c r="AP82" i="1"/>
  <c r="AQ82" i="1"/>
  <c r="AJ83" i="1"/>
  <c r="AK83" i="1"/>
  <c r="AL83" i="1"/>
  <c r="AM83" i="1"/>
  <c r="AN83" i="1"/>
  <c r="AO83" i="1"/>
  <c r="AP83" i="1"/>
  <c r="AQ83" i="1"/>
  <c r="AJ84" i="1"/>
  <c r="AK84" i="1"/>
  <c r="AL84" i="1"/>
  <c r="AM84" i="1"/>
  <c r="AN84" i="1"/>
  <c r="AO84" i="1"/>
  <c r="AP84" i="1"/>
  <c r="AQ84" i="1"/>
  <c r="AJ85" i="1"/>
  <c r="AK85" i="1"/>
  <c r="AL85" i="1"/>
  <c r="AM85" i="1"/>
  <c r="AN85" i="1"/>
  <c r="AO85" i="1"/>
  <c r="AP85" i="1"/>
  <c r="AQ85" i="1"/>
  <c r="AJ86" i="1"/>
  <c r="AK86" i="1"/>
  <c r="AL86" i="1"/>
  <c r="AM86" i="1"/>
  <c r="AN86" i="1"/>
  <c r="AO86" i="1"/>
  <c r="AP86" i="1"/>
  <c r="AQ86" i="1"/>
  <c r="AJ87" i="1"/>
  <c r="AK87" i="1"/>
  <c r="AL87" i="1"/>
  <c r="AM87" i="1"/>
  <c r="AN87" i="1"/>
  <c r="AO87" i="1"/>
  <c r="AP87" i="1"/>
  <c r="AQ87" i="1"/>
  <c r="AJ88" i="1"/>
  <c r="AK88" i="1"/>
  <c r="AL88" i="1"/>
  <c r="AM88" i="1"/>
  <c r="AN88" i="1"/>
  <c r="AO88" i="1"/>
  <c r="AP88" i="1"/>
  <c r="AQ88" i="1"/>
  <c r="AJ89" i="1"/>
  <c r="AK89" i="1"/>
  <c r="AL89" i="1"/>
  <c r="AM89" i="1"/>
  <c r="AN89" i="1"/>
  <c r="AO89" i="1"/>
  <c r="AP89" i="1"/>
  <c r="AQ89" i="1"/>
  <c r="AJ90" i="1"/>
  <c r="AK90" i="1"/>
  <c r="AL90" i="1"/>
  <c r="AM90" i="1"/>
  <c r="AN90" i="1"/>
  <c r="AO90" i="1"/>
  <c r="AP90" i="1"/>
  <c r="AQ90" i="1"/>
  <c r="AJ91" i="1"/>
  <c r="AK91" i="1"/>
  <c r="AL91" i="1"/>
  <c r="AM91" i="1"/>
  <c r="AN91" i="1"/>
  <c r="AO91" i="1"/>
  <c r="AP91" i="1"/>
  <c r="AQ91" i="1"/>
  <c r="AJ92" i="1"/>
  <c r="AK92" i="1"/>
  <c r="AL92" i="1"/>
  <c r="AM92" i="1"/>
  <c r="AN92" i="1"/>
  <c r="AO92" i="1"/>
  <c r="AP92" i="1"/>
  <c r="AQ92" i="1"/>
  <c r="AJ93" i="1"/>
  <c r="AK93" i="1"/>
  <c r="AL93" i="1"/>
  <c r="AM93" i="1"/>
  <c r="AN93" i="1"/>
  <c r="AO93" i="1"/>
  <c r="AP93" i="1"/>
  <c r="AQ93" i="1"/>
  <c r="AJ94" i="1"/>
  <c r="AK94" i="1"/>
  <c r="AL94" i="1"/>
  <c r="AM94" i="1"/>
  <c r="AN94" i="1"/>
  <c r="AO94" i="1"/>
  <c r="AP94" i="1"/>
  <c r="AQ94" i="1"/>
  <c r="AJ95" i="1"/>
  <c r="AK95" i="1"/>
  <c r="AL95" i="1"/>
  <c r="AM95" i="1"/>
  <c r="AN95" i="1"/>
  <c r="AO95" i="1"/>
  <c r="AP95" i="1"/>
  <c r="AQ95" i="1"/>
  <c r="AJ96" i="1"/>
  <c r="AK96" i="1"/>
  <c r="AL96" i="1"/>
  <c r="AM96" i="1"/>
  <c r="AN96" i="1"/>
  <c r="AO96" i="1"/>
  <c r="AP96" i="1"/>
  <c r="AQ96" i="1"/>
  <c r="AJ97" i="1"/>
  <c r="AK97" i="1"/>
  <c r="AL97" i="1"/>
  <c r="AM97" i="1"/>
  <c r="AN97" i="1"/>
  <c r="AO97" i="1"/>
  <c r="AP97" i="1"/>
  <c r="AQ97" i="1"/>
  <c r="AJ98" i="1"/>
  <c r="AK98" i="1"/>
  <c r="AL98" i="1"/>
  <c r="AM98" i="1"/>
  <c r="AN98" i="1"/>
  <c r="AO98" i="1"/>
  <c r="AP98" i="1"/>
  <c r="AQ98" i="1"/>
  <c r="AJ99" i="1"/>
  <c r="AK99" i="1"/>
  <c r="AL99" i="1"/>
  <c r="AM99" i="1"/>
  <c r="AN99" i="1"/>
  <c r="AO99" i="1"/>
  <c r="AP99" i="1"/>
  <c r="AQ99" i="1"/>
  <c r="AJ100" i="1"/>
  <c r="AK100" i="1"/>
  <c r="AL100" i="1"/>
  <c r="AM100" i="1"/>
  <c r="AN100" i="1"/>
  <c r="AO100" i="1"/>
  <c r="AP100" i="1"/>
  <c r="AQ100" i="1"/>
  <c r="AJ101" i="1"/>
  <c r="AK101" i="1"/>
  <c r="AL101" i="1"/>
  <c r="AM101" i="1"/>
  <c r="AN101" i="1"/>
  <c r="AO101" i="1"/>
  <c r="AP101" i="1"/>
  <c r="AQ101" i="1"/>
  <c r="AJ102" i="1"/>
  <c r="AK102" i="1"/>
  <c r="AL102" i="1"/>
  <c r="AM102" i="1"/>
  <c r="AN102" i="1"/>
  <c r="AO102" i="1"/>
  <c r="AP102" i="1"/>
  <c r="AQ102" i="1"/>
  <c r="AJ103" i="1"/>
  <c r="AK103" i="1"/>
  <c r="AL103" i="1"/>
  <c r="AM103" i="1"/>
  <c r="AN103" i="1"/>
  <c r="AO103" i="1"/>
  <c r="AP103" i="1"/>
  <c r="AQ103" i="1"/>
  <c r="AJ104" i="1"/>
  <c r="AK104" i="1"/>
  <c r="AL104" i="1"/>
  <c r="AM104" i="1"/>
  <c r="AN104" i="1"/>
  <c r="AO104" i="1"/>
  <c r="AP104" i="1"/>
  <c r="AQ104" i="1"/>
  <c r="AJ105" i="1"/>
  <c r="AK105" i="1"/>
  <c r="AL105" i="1"/>
  <c r="AM105" i="1"/>
  <c r="AN105" i="1"/>
  <c r="AO105" i="1"/>
  <c r="AP105" i="1"/>
  <c r="AQ105" i="1"/>
  <c r="AJ106" i="1"/>
  <c r="AK106" i="1"/>
  <c r="AL106" i="1"/>
  <c r="AM106" i="1"/>
  <c r="AN106" i="1"/>
  <c r="AO106" i="1"/>
  <c r="AP106" i="1"/>
  <c r="AQ106" i="1"/>
  <c r="AJ107" i="1"/>
  <c r="AK107" i="1"/>
  <c r="AL107" i="1"/>
  <c r="AM107" i="1"/>
  <c r="AN107" i="1"/>
  <c r="AO107" i="1"/>
  <c r="AP107" i="1"/>
  <c r="AQ107" i="1"/>
  <c r="AJ108" i="1"/>
  <c r="AK108" i="1"/>
  <c r="AL108" i="1"/>
  <c r="AM108" i="1"/>
  <c r="AN108" i="1"/>
  <c r="AO108" i="1"/>
  <c r="AP108" i="1"/>
  <c r="AQ108" i="1"/>
  <c r="AJ109" i="1"/>
  <c r="AK109" i="1"/>
  <c r="AL109" i="1"/>
  <c r="AM109" i="1"/>
  <c r="AN109" i="1"/>
  <c r="AO109" i="1"/>
  <c r="AP109" i="1"/>
  <c r="AQ109" i="1"/>
  <c r="AJ110" i="1"/>
  <c r="AK110" i="1"/>
  <c r="AL110" i="1"/>
  <c r="AM110" i="1"/>
  <c r="AN110" i="1"/>
  <c r="AO110" i="1"/>
  <c r="AP110" i="1"/>
  <c r="AQ110" i="1"/>
  <c r="AJ111" i="1"/>
  <c r="AK111" i="1"/>
  <c r="AL111" i="1"/>
  <c r="AM111" i="1"/>
  <c r="AN111" i="1"/>
  <c r="AO111" i="1"/>
  <c r="AP111" i="1"/>
  <c r="AQ111" i="1"/>
  <c r="AJ112" i="1"/>
  <c r="AK112" i="1"/>
  <c r="AL112" i="1"/>
  <c r="AM112" i="1"/>
  <c r="AN112" i="1"/>
  <c r="AO112" i="1"/>
  <c r="AP112" i="1"/>
  <c r="AQ112" i="1"/>
  <c r="AJ113" i="1"/>
  <c r="AK113" i="1"/>
  <c r="AL113" i="1"/>
  <c r="AM113" i="1"/>
  <c r="AN113" i="1"/>
  <c r="AO113" i="1"/>
  <c r="AP113" i="1"/>
  <c r="AQ113" i="1"/>
  <c r="AJ114" i="1"/>
  <c r="AK114" i="1"/>
  <c r="AL114" i="1"/>
  <c r="AM114" i="1"/>
  <c r="AN114" i="1"/>
  <c r="AO114" i="1"/>
  <c r="AP114" i="1"/>
  <c r="AQ114" i="1"/>
  <c r="AJ115" i="1"/>
  <c r="AK115" i="1"/>
  <c r="AL115" i="1"/>
  <c r="AM115" i="1"/>
  <c r="AN115" i="1"/>
  <c r="AO115" i="1"/>
  <c r="AP115" i="1"/>
  <c r="AQ115" i="1"/>
  <c r="AJ116" i="1"/>
  <c r="AK116" i="1"/>
  <c r="AL116" i="1"/>
  <c r="AM116" i="1"/>
  <c r="AN116" i="1"/>
  <c r="AO116" i="1"/>
  <c r="AP116" i="1"/>
  <c r="AQ116" i="1"/>
  <c r="AJ117" i="1"/>
  <c r="AK117" i="1"/>
  <c r="AL117" i="1"/>
  <c r="AM117" i="1"/>
  <c r="AN117" i="1"/>
  <c r="AO117" i="1"/>
  <c r="AP117" i="1"/>
  <c r="AQ117" i="1"/>
  <c r="AJ118" i="1"/>
  <c r="AK118" i="1"/>
  <c r="AL118" i="1"/>
  <c r="AM118" i="1"/>
  <c r="AN118" i="1"/>
  <c r="AO118" i="1"/>
  <c r="AP118" i="1"/>
  <c r="AQ118" i="1"/>
  <c r="AJ119" i="1"/>
  <c r="AK119" i="1"/>
  <c r="AL119" i="1"/>
  <c r="AM119" i="1"/>
  <c r="AN119" i="1"/>
  <c r="AO119" i="1"/>
  <c r="AP119" i="1"/>
  <c r="AQ119" i="1"/>
  <c r="AJ32" i="1" l="1"/>
  <c r="AK32" i="1"/>
  <c r="AL32" i="1"/>
  <c r="AM32" i="1"/>
  <c r="AN32" i="1"/>
  <c r="AO32" i="1"/>
  <c r="AP32" i="1"/>
  <c r="AQ32" i="1"/>
  <c r="AJ33" i="1"/>
  <c r="AK33" i="1"/>
  <c r="AL33" i="1"/>
  <c r="AM33" i="1"/>
  <c r="AN33" i="1"/>
  <c r="AO33" i="1"/>
  <c r="AP33" i="1"/>
  <c r="AQ33" i="1"/>
  <c r="AJ34" i="1"/>
  <c r="AK34" i="1"/>
  <c r="AL34" i="1"/>
  <c r="AM34" i="1"/>
  <c r="AN34" i="1"/>
  <c r="AO34" i="1"/>
  <c r="AP34" i="1"/>
  <c r="AQ34" i="1"/>
  <c r="AJ35" i="1"/>
  <c r="AK35" i="1"/>
  <c r="AL35" i="1"/>
  <c r="AM35" i="1"/>
  <c r="AN35" i="1"/>
  <c r="AO35" i="1"/>
  <c r="AP35" i="1"/>
  <c r="AQ35" i="1"/>
  <c r="AJ36" i="1"/>
  <c r="AK36" i="1"/>
  <c r="AL36" i="1"/>
  <c r="AM36" i="1"/>
  <c r="AN36" i="1"/>
  <c r="AO36" i="1"/>
  <c r="AP36" i="1"/>
  <c r="AQ36" i="1"/>
  <c r="AJ37" i="1"/>
  <c r="AK37" i="1"/>
  <c r="AL37" i="1"/>
  <c r="AM37" i="1"/>
  <c r="AN37" i="1"/>
  <c r="AO37" i="1"/>
  <c r="AP37" i="1"/>
  <c r="AQ37" i="1"/>
  <c r="AJ38" i="1"/>
  <c r="AK38" i="1"/>
  <c r="AL38" i="1"/>
  <c r="AM38" i="1"/>
  <c r="AN38" i="1"/>
  <c r="AO38" i="1"/>
  <c r="AP38" i="1"/>
  <c r="AQ38" i="1"/>
  <c r="AJ39" i="1"/>
  <c r="AK39" i="1"/>
  <c r="AL39" i="1"/>
  <c r="AM39" i="1"/>
  <c r="AN39" i="1"/>
  <c r="AO39" i="1"/>
  <c r="AP39" i="1"/>
  <c r="AQ39" i="1"/>
  <c r="AJ40" i="1"/>
  <c r="AK40" i="1"/>
  <c r="AL40" i="1"/>
  <c r="AM40" i="1"/>
  <c r="AN40" i="1"/>
  <c r="AO40" i="1"/>
  <c r="AP40" i="1"/>
  <c r="AQ40" i="1"/>
  <c r="AJ41" i="1"/>
  <c r="AK41" i="1"/>
  <c r="AL41" i="1"/>
  <c r="AM41" i="1"/>
  <c r="AN41" i="1"/>
  <c r="AO41" i="1"/>
  <c r="AP41" i="1"/>
  <c r="AQ41" i="1"/>
  <c r="AJ42" i="1"/>
  <c r="AK42" i="1"/>
  <c r="AL42" i="1"/>
  <c r="AM42" i="1"/>
  <c r="AN42" i="1"/>
  <c r="AO42" i="1"/>
  <c r="AP42" i="1"/>
  <c r="AQ42" i="1"/>
  <c r="AJ43" i="1"/>
  <c r="AK43" i="1"/>
  <c r="AL43" i="1"/>
  <c r="AM43" i="1"/>
  <c r="AN43" i="1"/>
  <c r="AO43" i="1"/>
  <c r="AP43" i="1"/>
  <c r="AQ43" i="1"/>
  <c r="AJ44" i="1"/>
  <c r="AK44" i="1"/>
  <c r="AL44" i="1"/>
  <c r="AM44" i="1"/>
  <c r="AN44" i="1"/>
  <c r="AO44" i="1"/>
  <c r="AP44" i="1"/>
  <c r="AQ44" i="1"/>
  <c r="AJ28" i="1"/>
  <c r="AK28" i="1"/>
  <c r="AL28" i="1"/>
  <c r="AM28" i="1"/>
  <c r="AN28" i="1"/>
  <c r="AO28" i="1"/>
  <c r="AP28" i="1"/>
  <c r="AQ28" i="1"/>
  <c r="AJ29" i="1"/>
  <c r="AK29" i="1"/>
  <c r="AL29" i="1"/>
  <c r="AM29" i="1"/>
  <c r="AN29" i="1"/>
  <c r="AO29" i="1"/>
  <c r="AP29" i="1"/>
  <c r="AQ29" i="1"/>
  <c r="AJ30" i="1"/>
  <c r="AK30" i="1"/>
  <c r="AL30" i="1"/>
  <c r="AM30" i="1"/>
  <c r="AN30" i="1"/>
  <c r="AO30" i="1"/>
  <c r="AP30" i="1"/>
  <c r="AQ30" i="1"/>
  <c r="AJ31" i="1"/>
  <c r="AK31" i="1"/>
  <c r="AL31" i="1"/>
  <c r="AM31" i="1"/>
  <c r="AN31" i="1"/>
  <c r="AO31" i="1"/>
  <c r="AP31" i="1"/>
  <c r="AQ31" i="1"/>
  <c r="AJ20" i="1"/>
  <c r="AK20" i="1"/>
  <c r="AL20" i="1"/>
  <c r="AM20" i="1"/>
  <c r="AN20" i="1"/>
  <c r="AO20" i="1"/>
  <c r="AP20" i="1"/>
  <c r="AQ20" i="1"/>
  <c r="AJ21" i="1"/>
  <c r="AK21" i="1"/>
  <c r="AL21" i="1"/>
  <c r="AM21" i="1"/>
  <c r="AN21" i="1"/>
  <c r="AO21" i="1"/>
  <c r="AP21" i="1"/>
  <c r="AQ21" i="1"/>
  <c r="AJ22" i="1"/>
  <c r="AK22" i="1"/>
  <c r="AL22" i="1"/>
  <c r="AM22" i="1"/>
  <c r="AN22" i="1"/>
  <c r="AO22" i="1"/>
  <c r="AP22" i="1"/>
  <c r="AQ22" i="1"/>
  <c r="AJ23" i="1"/>
  <c r="AK23" i="1"/>
  <c r="AL23" i="1"/>
  <c r="AM23" i="1"/>
  <c r="AN23" i="1"/>
  <c r="AO23" i="1"/>
  <c r="AP23" i="1"/>
  <c r="AQ23" i="1"/>
  <c r="AJ24" i="1"/>
  <c r="AK24" i="1"/>
  <c r="AL24" i="1"/>
  <c r="AM24" i="1"/>
  <c r="AN24" i="1"/>
  <c r="AO24" i="1"/>
  <c r="AP24" i="1"/>
  <c r="AQ24" i="1"/>
  <c r="AJ25" i="1"/>
  <c r="AK25" i="1"/>
  <c r="AL25" i="1"/>
  <c r="AM25" i="1"/>
  <c r="AN25" i="1"/>
  <c r="AO25" i="1"/>
  <c r="AP25" i="1"/>
  <c r="AQ25" i="1"/>
  <c r="AJ26" i="1"/>
  <c r="AK26" i="1"/>
  <c r="AL26" i="1"/>
  <c r="AM26" i="1"/>
  <c r="AN26" i="1"/>
  <c r="AO26" i="1"/>
  <c r="AP26" i="1"/>
  <c r="AQ26" i="1"/>
  <c r="AJ27" i="1"/>
  <c r="AK27" i="1"/>
  <c r="AL27" i="1"/>
  <c r="AM27" i="1"/>
  <c r="AN27" i="1"/>
  <c r="AO27" i="1"/>
  <c r="AP27" i="1"/>
  <c r="AQ27" i="1"/>
  <c r="AJ17" i="1"/>
  <c r="AK17" i="1"/>
  <c r="AL17" i="1"/>
  <c r="AM17" i="1"/>
  <c r="AN17" i="1"/>
  <c r="AO17" i="1"/>
  <c r="AP17" i="1"/>
  <c r="AQ17" i="1"/>
  <c r="AJ18" i="1"/>
  <c r="AK18" i="1"/>
  <c r="AL18" i="1"/>
  <c r="AM18" i="1"/>
  <c r="AN18" i="1"/>
  <c r="AO18" i="1"/>
  <c r="AP18" i="1"/>
  <c r="AQ18" i="1"/>
  <c r="AJ19" i="1"/>
  <c r="AK19" i="1"/>
  <c r="AL19" i="1"/>
  <c r="AM19" i="1"/>
  <c r="AN19" i="1"/>
  <c r="AO19" i="1"/>
  <c r="AP19" i="1"/>
  <c r="AQ19" i="1"/>
  <c r="AJ15" i="1" l="1"/>
  <c r="AK15" i="1"/>
  <c r="AL15" i="1"/>
  <c r="AM15" i="1"/>
  <c r="AN15" i="1"/>
  <c r="AO15" i="1"/>
  <c r="AP15" i="1"/>
  <c r="AQ15" i="1"/>
  <c r="AJ16" i="1"/>
  <c r="AK16" i="1"/>
  <c r="AL16" i="1"/>
  <c r="AM16" i="1"/>
  <c r="AN16" i="1"/>
  <c r="AO16" i="1"/>
  <c r="AP16" i="1"/>
  <c r="AQ16" i="1"/>
  <c r="AJ14" i="1" l="1"/>
  <c r="AK14" i="1"/>
  <c r="AL14" i="1"/>
  <c r="AM14" i="1"/>
  <c r="AN14" i="1"/>
  <c r="AO14" i="1"/>
  <c r="AP14" i="1"/>
  <c r="AQ14" i="1"/>
  <c r="AJ13" i="1" l="1"/>
  <c r="AK13" i="1"/>
  <c r="AL13" i="1"/>
  <c r="AM13" i="1"/>
  <c r="AN13" i="1"/>
  <c r="AO13" i="1"/>
  <c r="AP13" i="1"/>
  <c r="AQ13" i="1"/>
  <c r="AJ12" i="1" l="1"/>
  <c r="AK12" i="1"/>
  <c r="AL12" i="1"/>
  <c r="AM12" i="1"/>
  <c r="AN12" i="1"/>
  <c r="AO12" i="1"/>
  <c r="AP12" i="1"/>
  <c r="AQ12" i="1"/>
  <c r="AJ120" i="1" l="1"/>
  <c r="AR120" i="1" l="1"/>
  <c r="AS120" i="1"/>
  <c r="AN120" i="1" l="1"/>
  <c r="AL120" i="1"/>
  <c r="AM120" i="1"/>
  <c r="AQ120" i="1"/>
  <c r="AP120" i="1"/>
  <c r="AO120" i="1"/>
  <c r="AK1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tc={EFB9FC7D-43E0-41C1-A3FB-B72A604EF69D}</author>
  </authors>
  <commentList>
    <comment ref="H17" authorId="0" shapeId="0" xr:uid="{EFB9FC7D-43E0-41C1-A3FB-B72A604EF6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Xác nhận lại công
</t>
      </text>
    </comment>
  </commentList>
</comments>
</file>

<file path=xl/sharedStrings.xml><?xml version="1.0" encoding="utf-8"?>
<sst xmlns="http://schemas.openxmlformats.org/spreadsheetml/2006/main" count="454" uniqueCount="324">
  <si>
    <t>MST: 0201307104</t>
  </si>
  <si>
    <t>Tổng cộng</t>
  </si>
  <si>
    <t>Công ty Cổ phần Quốc tế Thương mại và Dịch vụ Việt Pháp</t>
  </si>
  <si>
    <t>Địa chỉ: Số 12 Lô 18D Lê Hồng Phong, P.Đằng Lâm, Q.Hải An, Hải Phòng</t>
  </si>
  <si>
    <t>STT</t>
  </si>
  <si>
    <t>Mã nhân viên</t>
  </si>
  <si>
    <t>Họ và tên</t>
  </si>
  <si>
    <t>Tổng hợp</t>
  </si>
  <si>
    <t>BẢNG CHẤM CÔNG THÁNG</t>
  </si>
  <si>
    <t>CN</t>
  </si>
  <si>
    <t>T2</t>
  </si>
  <si>
    <t>T7</t>
  </si>
  <si>
    <t>T5</t>
  </si>
  <si>
    <t>T6</t>
  </si>
  <si>
    <t>T3</t>
  </si>
  <si>
    <t>T4</t>
  </si>
  <si>
    <t>Tên</t>
  </si>
  <si>
    <t>ID</t>
  </si>
  <si>
    <t>Tên Ngân hàng</t>
  </si>
  <si>
    <t>Stk</t>
  </si>
  <si>
    <t>OT Đ</t>
  </si>
  <si>
    <t>CB Đ</t>
  </si>
  <si>
    <t>CB N</t>
  </si>
  <si>
    <t>OT N</t>
  </si>
  <si>
    <t>CN N</t>
  </si>
  <si>
    <t>CN Đ</t>
  </si>
  <si>
    <t>OT CN Đ</t>
  </si>
  <si>
    <t>OT CN N</t>
  </si>
  <si>
    <t>Bộ phận</t>
  </si>
  <si>
    <t>Tăng ca 2 - 2,5</t>
  </si>
  <si>
    <t>Tăng ca 3 - 4</t>
  </si>
  <si>
    <t>Tiền ăn tăng ca</t>
  </si>
  <si>
    <t>MSB</t>
  </si>
  <si>
    <t>DANH SÁCH STK NHÂN VIÊN DỰ ÁN</t>
  </si>
  <si>
    <t>Ghi chú</t>
  </si>
  <si>
    <t>Lắp ráp</t>
  </si>
  <si>
    <t>MB</t>
  </si>
  <si>
    <t>Dương Yến Ngọc</t>
  </si>
  <si>
    <t>031306016944</t>
  </si>
  <si>
    <t xml:space="preserve">CCCD </t>
  </si>
  <si>
    <t>2725012006</t>
  </si>
  <si>
    <t>036203011380</t>
  </si>
  <si>
    <t>Nguyễn Trung Hải</t>
  </si>
  <si>
    <t>Lắp ráp 2</t>
  </si>
  <si>
    <t>Nguyễn Sỹ Hùng</t>
  </si>
  <si>
    <t>027202000029</t>
  </si>
  <si>
    <t>VF 000191</t>
  </si>
  <si>
    <t>031092002148</t>
  </si>
  <si>
    <t>Nguyễn Văn Thiện</t>
  </si>
  <si>
    <t>Ngày vào</t>
  </si>
  <si>
    <t>Ngày nghỉ</t>
  </si>
  <si>
    <t>388808028888</t>
  </si>
  <si>
    <t>9250167891011</t>
  </si>
  <si>
    <t>296608866</t>
  </si>
  <si>
    <t>Vũ Thị Hương</t>
  </si>
  <si>
    <t>031191003506</t>
  </si>
  <si>
    <t/>
  </si>
  <si>
    <t>0965029722</t>
  </si>
  <si>
    <t>VF000499</t>
  </si>
  <si>
    <t>012204000481</t>
  </si>
  <si>
    <t>Vùi Văn Long</t>
  </si>
  <si>
    <t>031094015626</t>
  </si>
  <si>
    <t>Phạm Văn Khương</t>
  </si>
  <si>
    <t>014202005298</t>
  </si>
  <si>
    <t>Lò Văn Trung</t>
  </si>
  <si>
    <t>Vietinbank</t>
  </si>
  <si>
    <t>0000707136027</t>
  </si>
  <si>
    <t>Đỗ Văn Thậm</t>
  </si>
  <si>
    <t>VF 000028</t>
  </si>
  <si>
    <t>Lò Văn Sinh</t>
  </si>
  <si>
    <t>031202008953</t>
  </si>
  <si>
    <t>012205000530</t>
  </si>
  <si>
    <t>108880786388</t>
  </si>
  <si>
    <t>Viettinbank</t>
  </si>
  <si>
    <t>5568686869</t>
  </si>
  <si>
    <t>Lù Văn Hà</t>
  </si>
  <si>
    <t>Vàng Thị Soát</t>
  </si>
  <si>
    <t>Lò Văn Thuận</t>
  </si>
  <si>
    <t>Lò Văn Tím</t>
  </si>
  <si>
    <t>Phạm Quốc Khánh</t>
  </si>
  <si>
    <t>Hà Thị Hom</t>
  </si>
  <si>
    <t>Lò Văn Ngọc</t>
  </si>
  <si>
    <t>Chường Văn Yên</t>
  </si>
  <si>
    <t>Quàng Văn Sơn</t>
  </si>
  <si>
    <t>Nguyễn Thị Thanh Hiền</t>
  </si>
  <si>
    <t>Quàng Quốc Khánh</t>
  </si>
  <si>
    <t>Cứ Thị Sầu</t>
  </si>
  <si>
    <t>Thào A Mùa</t>
  </si>
  <si>
    <t>Lò Văn Trường</t>
  </si>
  <si>
    <t>Hoàng Văn Toàn</t>
  </si>
  <si>
    <t>Cứ Thị Máy</t>
  </si>
  <si>
    <t>Giàng A Chỉnh</t>
  </si>
  <si>
    <t>Nhựa</t>
  </si>
  <si>
    <t>VF 000106</t>
  </si>
  <si>
    <t>VF 000090</t>
  </si>
  <si>
    <t>VF 000091</t>
  </si>
  <si>
    <t>VF 000092</t>
  </si>
  <si>
    <t>VF 000094</t>
  </si>
  <si>
    <t>Lò Văn Hoan</t>
  </si>
  <si>
    <t>Lò Thị Trường</t>
  </si>
  <si>
    <t>Lò Văn An</t>
  </si>
  <si>
    <t>Lò Thị Hoạch</t>
  </si>
  <si>
    <t>011205001833</t>
  </si>
  <si>
    <t>012306007135</t>
  </si>
  <si>
    <t>011202006748</t>
  </si>
  <si>
    <t>011205001818</t>
  </si>
  <si>
    <t>012305004558</t>
  </si>
  <si>
    <t>031205006786</t>
  </si>
  <si>
    <t>011203000914</t>
  </si>
  <si>
    <t>040208010917</t>
  </si>
  <si>
    <t>011203008736</t>
  </si>
  <si>
    <t>031186011750</t>
  </si>
  <si>
    <t>014209013451</t>
  </si>
  <si>
    <t>011305000997</t>
  </si>
  <si>
    <t>011202003906</t>
  </si>
  <si>
    <t>011202000798</t>
  </si>
  <si>
    <t>031094000944</t>
  </si>
  <si>
    <t>011304008055</t>
  </si>
  <si>
    <t>012202005734</t>
  </si>
  <si>
    <t>VF 000154</t>
  </si>
  <si>
    <t>VF 000155</t>
  </si>
  <si>
    <t>VF 000234</t>
  </si>
  <si>
    <t>VF 000282</t>
  </si>
  <si>
    <t>VF 000235</t>
  </si>
  <si>
    <t>VF 000284</t>
  </si>
  <si>
    <t>014309004488</t>
  </si>
  <si>
    <t>014207002665</t>
  </si>
  <si>
    <t>014190012767</t>
  </si>
  <si>
    <t>014090016994</t>
  </si>
  <si>
    <t>0348025193</t>
  </si>
  <si>
    <t>02101010766064</t>
  </si>
  <si>
    <t>00965477093</t>
  </si>
  <si>
    <t>0782256973</t>
  </si>
  <si>
    <t>1020636378</t>
  </si>
  <si>
    <t>VCB</t>
  </si>
  <si>
    <t>Hồ Sơ</t>
  </si>
  <si>
    <t>2734833780123</t>
  </si>
  <si>
    <t>0354284496</t>
  </si>
  <si>
    <t>0702070061</t>
  </si>
  <si>
    <t>25011123335678</t>
  </si>
  <si>
    <t>0349142635</t>
  </si>
  <si>
    <t>02001011877227</t>
  </si>
  <si>
    <t>80002861033</t>
  </si>
  <si>
    <t>1412032005</t>
  </si>
  <si>
    <t>2707102002</t>
  </si>
  <si>
    <t>0865413945</t>
  </si>
  <si>
    <t>0326769071</t>
  </si>
  <si>
    <t>Abbank</t>
  </si>
  <si>
    <t>101882769481</t>
  </si>
  <si>
    <t>Nghỉ việc</t>
  </si>
  <si>
    <t>0358070239</t>
  </si>
  <si>
    <t>8807012004</t>
  </si>
  <si>
    <t>0913608306</t>
  </si>
  <si>
    <t>0876123107</t>
  </si>
  <si>
    <t>0356755184</t>
  </si>
  <si>
    <t>109885880658</t>
  </si>
  <si>
    <t>VF 000384</t>
  </si>
  <si>
    <t>Đinh Thị Tuyến</t>
  </si>
  <si>
    <t>Đinh Thị Khánh Nhi</t>
  </si>
  <si>
    <t>VF 000385</t>
  </si>
  <si>
    <t>VF 000382</t>
  </si>
  <si>
    <t>Đỗ Văn Gàng</t>
  </si>
  <si>
    <t>Đồng Xuân Tuấn Vũ</t>
  </si>
  <si>
    <t>Giàng Thị Hua</t>
  </si>
  <si>
    <t>Trần Thị Ngọc Thành</t>
  </si>
  <si>
    <t>VF 000383</t>
  </si>
  <si>
    <t>Trần Văn Quang</t>
  </si>
  <si>
    <t xml:space="preserve">Vũ Trọng Phát </t>
  </si>
  <si>
    <t>Vũ Văn Minh</t>
  </si>
  <si>
    <t>VF 000567</t>
  </si>
  <si>
    <t>012199005612</t>
  </si>
  <si>
    <t>031176000320</t>
  </si>
  <si>
    <t>044307009163</t>
  </si>
  <si>
    <t>031087004238</t>
  </si>
  <si>
    <t>038304026938</t>
  </si>
  <si>
    <t>031207009849</t>
  </si>
  <si>
    <t>031097010760</t>
  </si>
  <si>
    <t>031097012705</t>
  </si>
  <si>
    <t>0793228322</t>
  </si>
  <si>
    <t>200819976886</t>
  </si>
  <si>
    <t>62574823062007</t>
  </si>
  <si>
    <t>1059700725</t>
  </si>
  <si>
    <t>0368324193</t>
  </si>
  <si>
    <t>020054152</t>
  </si>
  <si>
    <t>VIB</t>
  </si>
  <si>
    <t>101877214855</t>
  </si>
  <si>
    <t>888851801666</t>
  </si>
  <si>
    <t>555071207555</t>
  </si>
  <si>
    <t>0367553241</t>
  </si>
  <si>
    <t>031097007895</t>
  </si>
  <si>
    <t>LV000103</t>
  </si>
  <si>
    <t>Đào Thị Tâm</t>
  </si>
  <si>
    <t>Hoàng Đức Hiếu</t>
  </si>
  <si>
    <t>Phạm Thị Loan</t>
  </si>
  <si>
    <t>Tạ Thị Minh Thu</t>
  </si>
  <si>
    <t>Cà Văn Hùng</t>
  </si>
  <si>
    <t>011206008170</t>
  </si>
  <si>
    <t>031207003387</t>
  </si>
  <si>
    <t>031177006601</t>
  </si>
  <si>
    <t>034176005982</t>
  </si>
  <si>
    <t>031174002622</t>
  </si>
  <si>
    <t>Trần Văn Dũng</t>
  </si>
  <si>
    <t>031095007434</t>
  </si>
  <si>
    <t>Lê Văn Dũng</t>
  </si>
  <si>
    <t>031208010357</t>
  </si>
  <si>
    <t>Tòng Văn Tuấn</t>
  </si>
  <si>
    <t>011207004509</t>
  </si>
  <si>
    <t>Cà Thị Thư</t>
  </si>
  <si>
    <t>011196002961</t>
  </si>
  <si>
    <t>Lò Ngọc Quyền</t>
  </si>
  <si>
    <t>011205003319</t>
  </si>
  <si>
    <t>Lường Văn Nghĩa</t>
  </si>
  <si>
    <t>011086001020</t>
  </si>
  <si>
    <t>Nguyễn Trọng Thắng</t>
  </si>
  <si>
    <t>040205013152</t>
  </si>
  <si>
    <t>Nguyễn Thị Thương</t>
  </si>
  <si>
    <t>040306009230</t>
  </si>
  <si>
    <t>Tháng 05/2026</t>
  </si>
  <si>
    <t>Nguyễn Đình Huy</t>
  </si>
  <si>
    <t>031098003547</t>
  </si>
  <si>
    <t>011307007037</t>
  </si>
  <si>
    <t>Lò Thị Thươn</t>
  </si>
  <si>
    <t>031307003149</t>
  </si>
  <si>
    <t>Lò Thị Hương</t>
  </si>
  <si>
    <t>011208001972</t>
  </si>
  <si>
    <t>Lò Thái Hoàng</t>
  </si>
  <si>
    <t>011202003796</t>
  </si>
  <si>
    <t>Lò Văn Thông</t>
  </si>
  <si>
    <t>031206005732</t>
  </si>
  <si>
    <t>Vũ Văn Việt</t>
  </si>
  <si>
    <t>011308006285</t>
  </si>
  <si>
    <t>Tòng Thị Hải Yến</t>
  </si>
  <si>
    <t>031207005370</t>
  </si>
  <si>
    <t>Trần Bá Huy</t>
  </si>
  <si>
    <t>031208007118</t>
  </si>
  <si>
    <t>Bùi Văn Minh Sáng</t>
  </si>
  <si>
    <t>011207007122</t>
  </si>
  <si>
    <t>Lò Hải Đăng</t>
  </si>
  <si>
    <t>011307001003</t>
  </si>
  <si>
    <t>Cà Hiền Nương</t>
  </si>
  <si>
    <t>001207000263</t>
  </si>
  <si>
    <t>Lường Thị Phương</t>
  </si>
  <si>
    <t>011306001423</t>
  </si>
  <si>
    <t>Lường Thị Yến</t>
  </si>
  <si>
    <t>011308001288</t>
  </si>
  <si>
    <t>Quàng Thị Vui</t>
  </si>
  <si>
    <t>011307004081</t>
  </si>
  <si>
    <t>Lò Thì Dương</t>
  </si>
  <si>
    <t>031091010160</t>
  </si>
  <si>
    <t>Hoàng Quốc Minh</t>
  </si>
  <si>
    <t>011190001082</t>
  </si>
  <si>
    <t>Lù Thị Ngoan</t>
  </si>
  <si>
    <t>011304000314</t>
  </si>
  <si>
    <t>Lò Thị Hoàn</t>
  </si>
  <si>
    <t>031206009163</t>
  </si>
  <si>
    <t>Bùi Nhật Minh</t>
  </si>
  <si>
    <t>031306014618</t>
  </si>
  <si>
    <t>Bùi Thị Kim Chi</t>
  </si>
  <si>
    <t>031308015898</t>
  </si>
  <si>
    <t>Bùi Thị Minh Hà</t>
  </si>
  <si>
    <t>031204010447</t>
  </si>
  <si>
    <t>Bùi Trọng Hiệp</t>
  </si>
  <si>
    <t>002305005805</t>
  </si>
  <si>
    <t>Cháng Thị Xinh</t>
  </si>
  <si>
    <t>031206019231</t>
  </si>
  <si>
    <t>Chu Ngọc Vỹ</t>
  </si>
  <si>
    <t>031307013668</t>
  </si>
  <si>
    <t>Hoàng Thị Ánh Ngọc</t>
  </si>
  <si>
    <t>040201023553</t>
  </si>
  <si>
    <t>Kha Văn Định</t>
  </si>
  <si>
    <t>011307004617</t>
  </si>
  <si>
    <t>Lò Thị Doan</t>
  </si>
  <si>
    <t>011307003959</t>
  </si>
  <si>
    <t>Lò Thị Hiến</t>
  </si>
  <si>
    <t>011305002757</t>
  </si>
  <si>
    <t>Lò Thị Minh Thư</t>
  </si>
  <si>
    <t>011305005351</t>
  </si>
  <si>
    <t>Lò Thị Phúc</t>
  </si>
  <si>
    <t>011304001728</t>
  </si>
  <si>
    <t>Lò Thị Phương</t>
  </si>
  <si>
    <t>040205022276</t>
  </si>
  <si>
    <t>Lô Văn Hảo</t>
  </si>
  <si>
    <t>011304001955</t>
  </si>
  <si>
    <t>Lường Thị Na</t>
  </si>
  <si>
    <t>011307008571</t>
  </si>
  <si>
    <t>011207001253</t>
  </si>
  <si>
    <t>Lường Văn Sơn</t>
  </si>
  <si>
    <t>011205002019</t>
  </si>
  <si>
    <t>Lường Văn Thưởng</t>
  </si>
  <si>
    <t>031206002576</t>
  </si>
  <si>
    <t>Nguyễn Hữu Khang</t>
  </si>
  <si>
    <t>031205013403</t>
  </si>
  <si>
    <t>Nguyễn Tuấn Quang</t>
  </si>
  <si>
    <t>031303006224</t>
  </si>
  <si>
    <t>Nguyễn Thị Hoài Thu</t>
  </si>
  <si>
    <t>031307016828</t>
  </si>
  <si>
    <t>Nguyễn Thị Như Quỳnh</t>
  </si>
  <si>
    <t>031204007811</t>
  </si>
  <si>
    <t>Nguyễn Văn Đức</t>
  </si>
  <si>
    <t>031206017692</t>
  </si>
  <si>
    <t>Phạm Trần Nhất Long</t>
  </si>
  <si>
    <t>031208008032</t>
  </si>
  <si>
    <t>Phạm Trung Nguyên</t>
  </si>
  <si>
    <t>031204008916</t>
  </si>
  <si>
    <t>Phạm Văn Khánh</t>
  </si>
  <si>
    <t>011304005221</t>
  </si>
  <si>
    <t>Quàng Thị Hảo</t>
  </si>
  <si>
    <t>011207000333</t>
  </si>
  <si>
    <t>Quàng Văn Hùng</t>
  </si>
  <si>
    <t>011307000397</t>
  </si>
  <si>
    <t>Tòng Thị Hương</t>
  </si>
  <si>
    <t>011204002004</t>
  </si>
  <si>
    <t>Tòng Văn Nam</t>
  </si>
  <si>
    <t>031207003067</t>
  </si>
  <si>
    <t>Trần Duy Long</t>
  </si>
  <si>
    <t>031306018187</t>
  </si>
  <si>
    <t>Trần Thị Khánh Huyền</t>
  </si>
  <si>
    <t>031306003338</t>
  </si>
  <si>
    <t>Trần Thị Thu Chang</t>
  </si>
  <si>
    <t>031205006805</t>
  </si>
  <si>
    <t>Trần Văn Triều</t>
  </si>
  <si>
    <t>011305003834</t>
  </si>
  <si>
    <t>Vì Thị Chinh</t>
  </si>
  <si>
    <t>031204007920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</si>
</sst>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[$-F800]dddd\,\ mmmm\ dd\,\ yyyy"/>
    <numFmt numFmtId="168" formatCode="_-* #,##0.0_-;\-* #,##0.0_-;_-* &quot;-&quot;??_-;_-@_-"/>
    <numFmt numFmtId="169" formatCode="dd"/>
    <numFmt numFmtId="170" formatCode="0.0"/>
    <numFmt numFmtId="171" formatCode="_-* #,##0_-;\-* #,##0_-;_-* &quot;-&quot;??_-;_-@_-"/>
    <numFmt numFmtId="172" formatCode="[$-1010000]d/m/yyyy;@"/>
  </numFmts>
  <fonts count="23">
    <font>
      <sz val="11"/>
      <color rgb="FF000000"/>
      <name val="Arial"/>
      <charset val="134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2"/>
      <charset val="129"/>
    </font>
    <font>
      <sz val="10"/>
      <name val="Arial"/>
      <family val="2"/>
    </font>
    <font>
      <sz val="8"/>
      <name val="Arial"/>
      <family val="2"/>
      <charset val="163"/>
    </font>
    <font>
      <sz val="11"/>
      <color rgb="FF000000"/>
      <name val="Arial"/>
      <family val="2"/>
      <charset val="163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.VnTime"/>
      <family val="2"/>
    </font>
    <font>
      <sz val="12"/>
      <color theme="1"/>
      <name val="Times New Roman"/>
      <family val="2"/>
    </font>
    <font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新細明體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24"/>
      <name val="Times New Roman"/>
      <family val="1"/>
    </font>
    <font>
      <b/>
      <sz val="28"/>
      <name val="Times New Roman"/>
      <family val="1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167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166" fontId="4" fillId="0" borderId="0" applyFont="0" applyFill="0" applyBorder="0" applyAlignment="0" applyProtection="0"/>
    <xf numFmtId="167" fontId="3" fillId="0" borderId="0" applyFont="0" applyFill="0" applyBorder="0" applyAlignment="0" applyProtection="0">
      <alignment vertical="center"/>
    </xf>
    <xf numFmtId="0" fontId="4" fillId="0" borderId="0"/>
    <xf numFmtId="0" fontId="3" fillId="0" borderId="0"/>
    <xf numFmtId="165" fontId="6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172" fontId="16" fillId="0" borderId="0">
      <alignment vertical="center"/>
    </xf>
    <xf numFmtId="164" fontId="22" fillId="0" borderId="0" applyFont="0" applyFill="0" applyBorder="0" applyAlignment="0" applyProtection="0"/>
  </cellStyleXfs>
  <cellXfs count="111">
    <xf numFmtId="0" fontId="0" fillId="0" borderId="0" xfId="0" applyAlignment="1">
      <alignment vertical="center"/>
    </xf>
    <xf numFmtId="0" fontId="15" fillId="2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171" fontId="8" fillId="2" borderId="1" xfId="8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49" fontId="7" fillId="4" borderId="11" xfId="0" applyNumberFormat="1" applyFont="1" applyFill="1" applyBorder="1" applyAlignment="1">
      <alignment horizontal="center" wrapText="1"/>
    </xf>
    <xf numFmtId="49" fontId="7" fillId="4" borderId="12" xfId="0" applyNumberFormat="1" applyFont="1" applyFill="1" applyBorder="1" applyAlignment="1">
      <alignment horizontal="center" wrapText="1"/>
    </xf>
    <xf numFmtId="49" fontId="7" fillId="2" borderId="13" xfId="0" applyNumberFormat="1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15" fillId="2" borderId="0" xfId="0" applyNumberFormat="1" applyFont="1" applyFill="1"/>
    <xf numFmtId="0" fontId="8" fillId="3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7" fillId="2" borderId="1" xfId="0" quotePrefix="1" applyFont="1" applyFill="1" applyBorder="1"/>
    <xf numFmtId="0" fontId="7" fillId="2" borderId="1" xfId="0" applyFont="1" applyFill="1" applyBorder="1"/>
    <xf numFmtId="49" fontId="7" fillId="2" borderId="0" xfId="0" applyNumberFormat="1" applyFont="1" applyFill="1"/>
    <xf numFmtId="49" fontId="7" fillId="2" borderId="0" xfId="0" applyNumberFormat="1" applyFont="1" applyFill="1" applyAlignment="1">
      <alignment horizontal="center"/>
    </xf>
    <xf numFmtId="49" fontId="7" fillId="2" borderId="1" xfId="0" quotePrefix="1" applyNumberFormat="1" applyFont="1" applyFill="1" applyBorder="1"/>
    <xf numFmtId="0" fontId="14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49" fontId="14" fillId="7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168" fontId="7" fillId="8" borderId="1" xfId="8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168" fontId="7" fillId="4" borderId="1" xfId="8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1" fontId="8" fillId="2" borderId="1" xfId="0" applyNumberFormat="1" applyFont="1" applyFill="1" applyBorder="1" applyAlignment="1">
      <alignment horizontal="center"/>
    </xf>
    <xf numFmtId="168" fontId="8" fillId="2" borderId="1" xfId="8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2" borderId="0" xfId="0" applyFont="1" applyFill="1"/>
    <xf numFmtId="0" fontId="14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2" borderId="0" xfId="0" applyNumberFormat="1" applyFont="1" applyFill="1" applyAlignment="1">
      <alignment vertical="center"/>
    </xf>
    <xf numFmtId="14" fontId="7" fillId="2" borderId="0" xfId="0" applyNumberFormat="1" applyFont="1" applyFill="1" applyAlignment="1">
      <alignment vertical="center"/>
    </xf>
    <xf numFmtId="14" fontId="7" fillId="2" borderId="0" xfId="0" applyNumberFormat="1" applyFont="1" applyFill="1" applyAlignment="1">
      <alignment horizontal="center" vertical="center"/>
    </xf>
    <xf numFmtId="14" fontId="18" fillId="2" borderId="0" xfId="0" applyNumberFormat="1" applyFont="1" applyFill="1" applyAlignment="1">
      <alignment horizontal="center" vertical="center"/>
    </xf>
    <xf numFmtId="14" fontId="7" fillId="2" borderId="1" xfId="0" applyNumberFormat="1" applyFont="1" applyFill="1" applyBorder="1"/>
    <xf numFmtId="14" fontId="18" fillId="2" borderId="0" xfId="0" applyNumberFormat="1" applyFont="1" applyFill="1" applyAlignment="1">
      <alignment vertical="center"/>
    </xf>
    <xf numFmtId="0" fontId="15" fillId="0" borderId="1" xfId="0" quotePrefix="1" applyFont="1" applyBorder="1" applyAlignment="1">
      <alignment vertical="center"/>
    </xf>
    <xf numFmtId="170" fontId="7" fillId="9" borderId="1" xfId="0" applyNumberFormat="1" applyFont="1" applyFill="1" applyBorder="1" applyAlignment="1">
      <alignment horizontal="center" wrapText="1"/>
    </xf>
    <xf numFmtId="170" fontId="7" fillId="10" borderId="1" xfId="0" applyNumberFormat="1" applyFont="1" applyFill="1" applyBorder="1" applyAlignment="1">
      <alignment horizontal="center" wrapText="1"/>
    </xf>
    <xf numFmtId="170" fontId="7" fillId="2" borderId="1" xfId="0" applyNumberFormat="1" applyFont="1" applyFill="1" applyBorder="1" applyAlignment="1">
      <alignment horizontal="center" wrapText="1"/>
    </xf>
    <xf numFmtId="49" fontId="8" fillId="7" borderId="1" xfId="0" applyNumberFormat="1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9" fillId="2" borderId="1" xfId="0" applyFont="1" applyFill="1" applyBorder="1"/>
    <xf numFmtId="0" fontId="21" fillId="2" borderId="0" xfId="0" applyFont="1" applyFill="1" applyAlignment="1">
      <alignment vertical="center"/>
    </xf>
    <xf numFmtId="0" fontId="7" fillId="11" borderId="1" xfId="0" applyFont="1" applyFill="1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64" fontId="9" fillId="6" borderId="6" xfId="13" applyFont="1" applyFill="1" applyBorder="1" applyAlignment="1">
      <alignment horizontal="center" vertical="center" wrapText="1"/>
    </xf>
    <xf numFmtId="164" fontId="9" fillId="6" borderId="10" xfId="13" applyFont="1" applyFill="1" applyBorder="1" applyAlignment="1">
      <alignment horizontal="center" vertical="center" wrapText="1"/>
    </xf>
    <xf numFmtId="164" fontId="9" fillId="6" borderId="7" xfId="13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164" fontId="9" fillId="6" borderId="6" xfId="13" applyFont="1" applyFill="1" applyBorder="1" applyAlignment="1">
      <alignment horizontal="center" vertical="center" wrapText="1"/>
    </xf>
    <xf numFmtId="164" fontId="9" fillId="6" borderId="10" xfId="13" applyFont="1" applyFill="1" applyBorder="1" applyAlignment="1">
      <alignment horizontal="center" vertical="center" wrapText="1"/>
    </xf>
    <xf numFmtId="164" fontId="9" fillId="6" borderId="7" xfId="13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69" fontId="8" fillId="5" borderId="6" xfId="0" applyNumberFormat="1" applyFont="1" applyFill="1" applyBorder="1" applyAlignment="1">
      <alignment horizontal="center" vertical="center" wrapText="1"/>
    </xf>
    <xf numFmtId="169" fontId="8" fillId="5" borderId="10" xfId="0" applyNumberFormat="1" applyFont="1" applyFill="1" applyBorder="1" applyAlignment="1">
      <alignment horizontal="center" vertical="center" wrapText="1"/>
    </xf>
    <xf numFmtId="169" fontId="8" fillId="5" borderId="7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wrapText="1"/>
    </xf>
    <xf numFmtId="49" fontId="7" fillId="2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4" fontId="7" fillId="4" borderId="11" xfId="0" applyNumberFormat="1" applyFont="1" applyFill="1" applyBorder="1" applyAlignment="1">
      <alignment vertical="center" wrapText="1"/>
    </xf>
    <xf numFmtId="14" fontId="7" fillId="4" borderId="12" xfId="0" applyNumberFormat="1" applyFont="1" applyFill="1" applyBorder="1" applyAlignment="1">
      <alignment vertical="center" wrapText="1"/>
    </xf>
    <xf numFmtId="14" fontId="7" fillId="4" borderId="13" xfId="0" applyNumberFormat="1" applyFont="1" applyFill="1" applyBorder="1" applyAlignment="1">
      <alignment vertical="center" wrapText="1"/>
    </xf>
    <xf numFmtId="14" fontId="7" fillId="4" borderId="11" xfId="0" applyNumberFormat="1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 wrapText="1"/>
    </xf>
    <xf numFmtId="14" fontId="7" fillId="4" borderId="13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</cellXfs>
  <cellStyles count="14">
    <cellStyle name="Comma" xfId="8" builtinId="3"/>
    <cellStyle name="Comma [0]" xfId="13" builtinId="6"/>
    <cellStyle name="Comma 2" xfId="4" xr:uid="{00000000-0005-0000-0000-000001000000}"/>
    <cellStyle name="Comma 6" xfId="1" xr:uid="{00000000-0005-0000-0000-000002000000}"/>
    <cellStyle name="Comma 7" xfId="5" xr:uid="{00000000-0005-0000-0000-000003000000}"/>
    <cellStyle name="Normal" xfId="0" builtinId="0"/>
    <cellStyle name="Normal 2" xfId="2" xr:uid="{00000000-0005-0000-0000-000005000000}"/>
    <cellStyle name="Normal 2 2" xfId="7" xr:uid="{00000000-0005-0000-0000-000006000000}"/>
    <cellStyle name="Normal 2 3" xfId="10" xr:uid="{00000000-0005-0000-0000-000007000000}"/>
    <cellStyle name="Normal 3" xfId="9" xr:uid="{00000000-0005-0000-0000-000008000000}"/>
    <cellStyle name="Normal 3 2" xfId="6" xr:uid="{00000000-0005-0000-0000-000009000000}"/>
    <cellStyle name="Normal 4" xfId="11" xr:uid="{00000000-0005-0000-0000-00000A000000}"/>
    <cellStyle name="Normal 7" xfId="3" xr:uid="{00000000-0005-0000-0000-00000B000000}"/>
    <cellStyle name="一般_LOVN出勤日報表  2014.3.10 2 3 3" xfId="12" xr:uid="{00000000-0005-0000-0000-00000C000000}"/>
  </cellStyles>
  <dxfs count="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ll" id="{9319EA28-1A50-4C86-A2C8-56ADDA87492C}" userId="Dell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6-05-27T08:46:28.90" personId="{9319EA28-1A50-4C86-A2C8-56ADDA87492C}" id="{EFB9FC7D-43E0-41C1-A3FB-B72A604EF69D}">
    <text xml:space="preserve">Xác nhận lại công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1"/>
  <sheetViews>
    <sheetView tabSelected="1" topLeftCell="A4" zoomScale="65" zoomScaleNormal="40" zoomScaleSheetLayoutView="70" workbookViewId="0">
      <pane xSplit="7" ySplit="8" topLeftCell="H12" activePane="bottomRight" state="frozen"/>
      <selection activeCell="A4" sqref="A4"/>
      <selection pane="topRight" activeCell="E4" sqref="E4"/>
      <selection pane="bottomLeft" activeCell="A11" sqref="A11"/>
      <selection pane="bottomRight" activeCell="X14" sqref="X14"/>
    </sheetView>
  </sheetViews>
  <sheetFormatPr baseColWidth="10" defaultColWidth="9" defaultRowHeight="15" customHeight="1"/>
  <cols>
    <col min="1" max="1" width="9" style="1" hidden="1" customWidth="1"/>
    <col min="2" max="2" width="14.1640625" style="16" customWidth="1"/>
    <col min="3" max="3" width="14.83203125" style="16" customWidth="1"/>
    <col min="4" max="4" width="23.5" style="1" customWidth="1"/>
    <col min="5" max="5" width="21.83203125" style="52" customWidth="1"/>
    <col min="6" max="6" width="20.33203125" style="52" customWidth="1"/>
    <col min="7" max="7" width="13.1640625" style="1" customWidth="1"/>
    <col min="8" max="35" width="8.5" style="1" customWidth="1"/>
    <col min="36" max="36" width="10.5" style="20" customWidth="1"/>
    <col min="37" max="37" width="9.1640625" style="20" customWidth="1"/>
    <col min="38" max="38" width="10.33203125" style="20" customWidth="1"/>
    <col min="39" max="43" width="7.5" style="20" customWidth="1"/>
    <col min="44" max="45" width="12.6640625" style="18" customWidth="1"/>
    <col min="46" max="46" width="27.33203125" style="1" customWidth="1"/>
    <col min="47" max="16384" width="9" style="1"/>
  </cols>
  <sheetData>
    <row r="1" spans="1:46" ht="19.5" customHeight="1">
      <c r="A1" s="15"/>
      <c r="G1" s="17" t="s">
        <v>2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8"/>
      <c r="AG1" s="18"/>
      <c r="AH1" s="19"/>
      <c r="AI1" s="19"/>
    </row>
    <row r="2" spans="1:46" ht="18.75" customHeight="1">
      <c r="G2" s="17" t="s">
        <v>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8"/>
      <c r="AG2" s="18"/>
      <c r="AH2" s="19"/>
      <c r="AI2" s="19"/>
    </row>
    <row r="3" spans="1:46" ht="19.5" customHeight="1">
      <c r="G3" s="17" t="s">
        <v>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8"/>
      <c r="AG3" s="18"/>
      <c r="AH3" s="19"/>
      <c r="AI3" s="19"/>
    </row>
    <row r="4" spans="1:46" ht="18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18"/>
      <c r="AM4" s="18"/>
      <c r="AN4" s="18"/>
      <c r="AO4" s="18"/>
      <c r="AP4" s="18"/>
      <c r="AQ4" s="18"/>
    </row>
    <row r="5" spans="1:46" ht="60" customHeight="1">
      <c r="B5" s="22"/>
      <c r="C5" s="30"/>
      <c r="D5" s="21"/>
      <c r="E5" s="53"/>
      <c r="F5" s="53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65" t="s">
        <v>8</v>
      </c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 spans="1:46" ht="36" customHeight="1">
      <c r="A6" s="23"/>
      <c r="B6" s="24"/>
      <c r="C6" s="31"/>
      <c r="D6" s="23"/>
      <c r="E6" s="53"/>
      <c r="F6" s="5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79" t="s">
        <v>217</v>
      </c>
      <c r="AA6" s="79"/>
      <c r="AB6" s="79"/>
      <c r="AC6" s="79"/>
      <c r="AD6" s="79"/>
      <c r="AE6" s="79"/>
      <c r="AF6" s="79"/>
      <c r="AG6" s="79"/>
      <c r="AH6" s="79"/>
      <c r="AI6" s="79"/>
      <c r="AJ6" s="23"/>
      <c r="AK6" s="23"/>
      <c r="AL6" s="23"/>
      <c r="AM6" s="23"/>
      <c r="AN6" s="23"/>
      <c r="AO6" s="23"/>
      <c r="AP6" s="23"/>
      <c r="AQ6" s="23"/>
    </row>
    <row r="7" spans="1:46" ht="4.5" customHeight="1">
      <c r="A7" s="25"/>
      <c r="B7" s="26"/>
      <c r="C7" s="26"/>
      <c r="D7" s="25"/>
      <c r="E7" s="57"/>
      <c r="F7" s="55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23"/>
      <c r="AK7" s="23"/>
      <c r="AL7" s="23"/>
      <c r="AM7" s="23"/>
      <c r="AN7" s="23"/>
      <c r="AO7" s="23"/>
      <c r="AP7" s="23"/>
      <c r="AQ7" s="23"/>
    </row>
    <row r="8" spans="1:46" ht="24.75" customHeight="1">
      <c r="A8" s="90" t="s">
        <v>4</v>
      </c>
      <c r="B8" s="86" t="s">
        <v>5</v>
      </c>
      <c r="C8" s="11"/>
      <c r="D8" s="88" t="s">
        <v>6</v>
      </c>
      <c r="E8" s="95" t="s">
        <v>49</v>
      </c>
      <c r="F8" s="98" t="s">
        <v>50</v>
      </c>
      <c r="G8" s="90" t="s">
        <v>28</v>
      </c>
      <c r="H8" s="82">
        <v>22</v>
      </c>
      <c r="I8" s="83"/>
      <c r="J8" s="83"/>
      <c r="K8" s="84"/>
      <c r="L8" s="82">
        <v>23</v>
      </c>
      <c r="M8" s="83"/>
      <c r="N8" s="83"/>
      <c r="O8" s="84"/>
      <c r="P8" s="82">
        <v>24</v>
      </c>
      <c r="Q8" s="83"/>
      <c r="R8" s="83"/>
      <c r="S8" s="84"/>
      <c r="T8" s="82">
        <v>25</v>
      </c>
      <c r="U8" s="83"/>
      <c r="V8" s="83"/>
      <c r="W8" s="84"/>
      <c r="X8" s="82">
        <v>26</v>
      </c>
      <c r="Y8" s="83"/>
      <c r="Z8" s="83"/>
      <c r="AA8" s="84"/>
      <c r="AB8" s="82">
        <v>27</v>
      </c>
      <c r="AC8" s="83"/>
      <c r="AD8" s="83"/>
      <c r="AE8" s="84"/>
      <c r="AF8" s="82">
        <v>28</v>
      </c>
      <c r="AG8" s="83"/>
      <c r="AH8" s="83"/>
      <c r="AI8" s="84"/>
      <c r="AJ8" s="101" t="s">
        <v>7</v>
      </c>
      <c r="AK8" s="102"/>
      <c r="AL8" s="102"/>
      <c r="AM8" s="102"/>
      <c r="AN8" s="102"/>
      <c r="AO8" s="102"/>
      <c r="AP8" s="102"/>
      <c r="AQ8" s="103"/>
      <c r="AR8" s="81" t="s">
        <v>31</v>
      </c>
      <c r="AS8" s="81"/>
      <c r="AT8" s="73" t="s">
        <v>135</v>
      </c>
    </row>
    <row r="9" spans="1:46" ht="30" customHeight="1">
      <c r="A9" s="90"/>
      <c r="B9" s="86"/>
      <c r="C9" s="12" t="s">
        <v>39</v>
      </c>
      <c r="D9" s="88"/>
      <c r="E9" s="96"/>
      <c r="F9" s="99"/>
      <c r="G9" s="90"/>
      <c r="H9" s="76" t="s">
        <v>15</v>
      </c>
      <c r="I9" s="77"/>
      <c r="J9" s="77"/>
      <c r="K9" s="78"/>
      <c r="L9" s="76" t="s">
        <v>12</v>
      </c>
      <c r="M9" s="77"/>
      <c r="N9" s="77"/>
      <c r="O9" s="78"/>
      <c r="P9" s="76" t="s">
        <v>13</v>
      </c>
      <c r="Q9" s="77"/>
      <c r="R9" s="77"/>
      <c r="S9" s="78"/>
      <c r="T9" s="76" t="s">
        <v>11</v>
      </c>
      <c r="U9" s="77"/>
      <c r="V9" s="77"/>
      <c r="W9" s="78"/>
      <c r="X9" s="76" t="s">
        <v>9</v>
      </c>
      <c r="Y9" s="77"/>
      <c r="Z9" s="77"/>
      <c r="AA9" s="78"/>
      <c r="AB9" s="76" t="s">
        <v>10</v>
      </c>
      <c r="AC9" s="77"/>
      <c r="AD9" s="77"/>
      <c r="AE9" s="78"/>
      <c r="AF9" s="76" t="s">
        <v>14</v>
      </c>
      <c r="AG9" s="77"/>
      <c r="AH9" s="77"/>
      <c r="AI9" s="78"/>
      <c r="AJ9" s="104"/>
      <c r="AK9" s="105"/>
      <c r="AL9" s="105"/>
      <c r="AM9" s="105"/>
      <c r="AN9" s="105"/>
      <c r="AO9" s="105"/>
      <c r="AP9" s="105"/>
      <c r="AQ9" s="106"/>
      <c r="AR9" s="14" t="s">
        <v>29</v>
      </c>
      <c r="AS9" s="14" t="s">
        <v>30</v>
      </c>
      <c r="AT9" s="74"/>
    </row>
    <row r="10" spans="1:46" ht="30" customHeight="1">
      <c r="A10" s="90"/>
      <c r="B10" s="86"/>
      <c r="C10" s="12"/>
      <c r="D10" s="88"/>
      <c r="E10" s="96"/>
      <c r="F10" s="99"/>
      <c r="G10" s="90"/>
      <c r="H10" s="70">
        <v>36000</v>
      </c>
      <c r="I10" s="71">
        <v>54000</v>
      </c>
      <c r="J10" s="71">
        <v>46800</v>
      </c>
      <c r="K10" s="72">
        <v>75600</v>
      </c>
      <c r="L10" s="70">
        <v>36000</v>
      </c>
      <c r="M10" s="71">
        <v>54000</v>
      </c>
      <c r="N10" s="71">
        <v>46800</v>
      </c>
      <c r="O10" s="72">
        <v>75600</v>
      </c>
      <c r="P10" s="70">
        <v>72000</v>
      </c>
      <c r="Q10" s="71">
        <v>72000</v>
      </c>
      <c r="R10" s="71">
        <v>97200</v>
      </c>
      <c r="S10" s="72">
        <v>72000</v>
      </c>
      <c r="T10" s="70">
        <v>36000</v>
      </c>
      <c r="U10" s="71">
        <v>54000</v>
      </c>
      <c r="V10" s="71">
        <v>46800</v>
      </c>
      <c r="W10" s="72">
        <v>75600</v>
      </c>
      <c r="X10" s="70">
        <v>36000</v>
      </c>
      <c r="Y10" s="71">
        <v>54000</v>
      </c>
      <c r="Z10" s="71">
        <v>46800</v>
      </c>
      <c r="AA10" s="72">
        <v>75600</v>
      </c>
      <c r="AB10" s="70">
        <v>36000</v>
      </c>
      <c r="AC10" s="71">
        <v>54000</v>
      </c>
      <c r="AD10" s="71">
        <v>46800</v>
      </c>
      <c r="AE10" s="72">
        <v>75600</v>
      </c>
      <c r="AF10" s="70">
        <v>36000</v>
      </c>
      <c r="AG10" s="71">
        <v>54000</v>
      </c>
      <c r="AH10" s="71">
        <v>46800</v>
      </c>
      <c r="AI10" s="72">
        <v>75600</v>
      </c>
      <c r="AJ10" s="67"/>
      <c r="AK10" s="68"/>
      <c r="AL10" s="68"/>
      <c r="AM10" s="68"/>
      <c r="AN10" s="68"/>
      <c r="AO10" s="68"/>
      <c r="AP10" s="68"/>
      <c r="AQ10" s="69"/>
      <c r="AR10" s="14"/>
      <c r="AS10" s="14"/>
      <c r="AT10" s="74"/>
    </row>
    <row r="11" spans="1:46" ht="29.5" customHeight="1">
      <c r="A11" s="90"/>
      <c r="B11" s="87"/>
      <c r="C11" s="13"/>
      <c r="D11" s="89"/>
      <c r="E11" s="97"/>
      <c r="F11" s="100"/>
      <c r="G11" s="91"/>
      <c r="H11" s="8" t="s">
        <v>22</v>
      </c>
      <c r="I11" s="8" t="s">
        <v>23</v>
      </c>
      <c r="J11" s="8" t="s">
        <v>21</v>
      </c>
      <c r="K11" s="8" t="s">
        <v>20</v>
      </c>
      <c r="L11" s="8" t="s">
        <v>22</v>
      </c>
      <c r="M11" s="8" t="s">
        <v>23</v>
      </c>
      <c r="N11" s="8" t="s">
        <v>21</v>
      </c>
      <c r="O11" s="8" t="s">
        <v>20</v>
      </c>
      <c r="P11" s="50" t="s">
        <v>24</v>
      </c>
      <c r="Q11" s="50" t="s">
        <v>27</v>
      </c>
      <c r="R11" s="50" t="s">
        <v>25</v>
      </c>
      <c r="S11" s="50" t="s">
        <v>26</v>
      </c>
      <c r="T11" s="8" t="s">
        <v>22</v>
      </c>
      <c r="U11" s="8" t="s">
        <v>23</v>
      </c>
      <c r="V11" s="8" t="s">
        <v>21</v>
      </c>
      <c r="W11" s="8" t="s">
        <v>20</v>
      </c>
      <c r="X11" s="8" t="s">
        <v>22</v>
      </c>
      <c r="Y11" s="8" t="s">
        <v>23</v>
      </c>
      <c r="Z11" s="8" t="s">
        <v>21</v>
      </c>
      <c r="AA11" s="8" t="s">
        <v>20</v>
      </c>
      <c r="AB11" s="8" t="s">
        <v>22</v>
      </c>
      <c r="AC11" s="8" t="s">
        <v>23</v>
      </c>
      <c r="AD11" s="8" t="s">
        <v>21</v>
      </c>
      <c r="AE11" s="8" t="s">
        <v>20</v>
      </c>
      <c r="AF11" s="8" t="s">
        <v>22</v>
      </c>
      <c r="AG11" s="8" t="s">
        <v>23</v>
      </c>
      <c r="AH11" s="8" t="s">
        <v>21</v>
      </c>
      <c r="AI11" s="8" t="s">
        <v>20</v>
      </c>
      <c r="AJ11" s="8" t="s">
        <v>22</v>
      </c>
      <c r="AK11" s="8" t="s">
        <v>23</v>
      </c>
      <c r="AL11" s="8" t="s">
        <v>21</v>
      </c>
      <c r="AM11" s="8" t="s">
        <v>20</v>
      </c>
      <c r="AN11" s="8" t="s">
        <v>24</v>
      </c>
      <c r="AO11" s="8" t="s">
        <v>27</v>
      </c>
      <c r="AP11" s="8" t="s">
        <v>25</v>
      </c>
      <c r="AQ11" s="8" t="s">
        <v>26</v>
      </c>
      <c r="AR11" s="7">
        <v>12000</v>
      </c>
      <c r="AS11" s="7">
        <v>20000</v>
      </c>
      <c r="AT11" s="75"/>
    </row>
    <row r="12" spans="1:46" s="22" customFormat="1" ht="30" customHeight="1">
      <c r="A12" s="36">
        <v>1</v>
      </c>
      <c r="B12" s="28" t="s">
        <v>190</v>
      </c>
      <c r="C12" s="32" t="s">
        <v>41</v>
      </c>
      <c r="D12" s="28" t="s">
        <v>42</v>
      </c>
      <c r="E12" s="56">
        <v>45971</v>
      </c>
      <c r="F12" s="56" t="s">
        <v>56</v>
      </c>
      <c r="G12" s="37" t="s">
        <v>35</v>
      </c>
      <c r="H12" s="61">
        <v>7.5</v>
      </c>
      <c r="I12" s="61">
        <v>4</v>
      </c>
      <c r="J12" s="61"/>
      <c r="K12" s="61"/>
      <c r="L12" s="61">
        <v>7.5</v>
      </c>
      <c r="M12" s="61"/>
      <c r="N12" s="61"/>
      <c r="O12" s="61"/>
      <c r="P12" s="59"/>
      <c r="Q12" s="59"/>
      <c r="R12" s="59"/>
      <c r="S12" s="59"/>
      <c r="T12" s="61">
        <v>7.5</v>
      </c>
      <c r="U12" s="61">
        <v>4</v>
      </c>
      <c r="V12" s="61"/>
      <c r="W12" s="61"/>
      <c r="X12" s="61">
        <v>8</v>
      </c>
      <c r="Y12" s="61">
        <v>4</v>
      </c>
      <c r="Z12" s="61"/>
      <c r="AA12" s="61"/>
      <c r="AB12" s="61">
        <v>8</v>
      </c>
      <c r="AC12" s="61">
        <v>3</v>
      </c>
      <c r="AD12" s="61"/>
      <c r="AE12" s="61"/>
      <c r="AF12" s="22">
        <v>7.5</v>
      </c>
      <c r="AG12" s="61">
        <v>4</v>
      </c>
      <c r="AH12" s="61"/>
      <c r="AI12" s="61"/>
      <c r="AJ12" s="40">
        <f t="shared" ref="AJ12:AJ43" si="0">SUMIF($H$11:$AI$11,$AJ$11,H12:AI12)</f>
        <v>46</v>
      </c>
      <c r="AK12" s="40">
        <f t="shared" ref="AK12:AK43" si="1">SUMIF($H$11:$AI$11,$AK$11,H12:AI12)</f>
        <v>19</v>
      </c>
      <c r="AL12" s="40">
        <f t="shared" ref="AL12:AL43" si="2">SUMIF($H$11:$AI$11,$AL$11,H12:AI12)</f>
        <v>0</v>
      </c>
      <c r="AM12" s="40">
        <f t="shared" ref="AM12:AM43" si="3">SUMIF($H$11:$AI$11,$AM$11,H12:AI12)</f>
        <v>0</v>
      </c>
      <c r="AN12" s="38">
        <f t="shared" ref="AN12:AQ31" si="4">SUMIF($H$11:$AI$11,AN$11,$H12:$AI12)</f>
        <v>0</v>
      </c>
      <c r="AO12" s="38">
        <f t="shared" si="4"/>
        <v>0</v>
      </c>
      <c r="AP12" s="38">
        <f t="shared" si="4"/>
        <v>0</v>
      </c>
      <c r="AQ12" s="38">
        <f t="shared" si="4"/>
        <v>0</v>
      </c>
      <c r="AR12" s="39"/>
      <c r="AS12" s="39"/>
      <c r="AT12" s="29"/>
    </row>
    <row r="13" spans="1:46" s="22" customFormat="1" ht="30" customHeight="1">
      <c r="A13" s="36">
        <v>2</v>
      </c>
      <c r="B13" s="28" t="s">
        <v>58</v>
      </c>
      <c r="C13" s="32" t="s">
        <v>61</v>
      </c>
      <c r="D13" s="28" t="s">
        <v>62</v>
      </c>
      <c r="E13" s="56">
        <v>46029</v>
      </c>
      <c r="F13" s="56" t="s">
        <v>56</v>
      </c>
      <c r="G13" s="37" t="s">
        <v>35</v>
      </c>
      <c r="H13" s="61">
        <v>8</v>
      </c>
      <c r="I13" s="61">
        <v>3</v>
      </c>
      <c r="J13" s="61"/>
      <c r="K13" s="61"/>
      <c r="L13" s="61"/>
      <c r="M13" s="61"/>
      <c r="N13" s="61"/>
      <c r="O13" s="61"/>
      <c r="P13" s="59"/>
      <c r="Q13" s="59"/>
      <c r="R13" s="59"/>
      <c r="S13" s="59"/>
      <c r="T13" s="61">
        <v>8</v>
      </c>
      <c r="U13" s="61">
        <v>2</v>
      </c>
      <c r="V13" s="61"/>
      <c r="W13" s="61"/>
      <c r="X13" s="61">
        <v>8</v>
      </c>
      <c r="Y13" s="61">
        <v>3</v>
      </c>
      <c r="Z13" s="61"/>
      <c r="AA13" s="61"/>
      <c r="AB13" s="61">
        <v>8</v>
      </c>
      <c r="AC13" s="61">
        <v>2</v>
      </c>
      <c r="AD13" s="61"/>
      <c r="AE13" s="61"/>
      <c r="AF13" s="61"/>
      <c r="AG13" s="61"/>
      <c r="AH13" s="61"/>
      <c r="AI13" s="61"/>
      <c r="AJ13" s="40">
        <f t="shared" si="0"/>
        <v>32</v>
      </c>
      <c r="AK13" s="40">
        <f t="shared" si="1"/>
        <v>10</v>
      </c>
      <c r="AL13" s="40">
        <f t="shared" si="2"/>
        <v>0</v>
      </c>
      <c r="AM13" s="40">
        <f t="shared" si="3"/>
        <v>0</v>
      </c>
      <c r="AN13" s="38">
        <f t="shared" si="4"/>
        <v>0</v>
      </c>
      <c r="AO13" s="38">
        <f t="shared" si="4"/>
        <v>0</v>
      </c>
      <c r="AP13" s="38">
        <f t="shared" si="4"/>
        <v>0</v>
      </c>
      <c r="AQ13" s="38">
        <f t="shared" si="4"/>
        <v>0</v>
      </c>
      <c r="AR13" s="39"/>
      <c r="AS13" s="39"/>
      <c r="AT13" s="29"/>
    </row>
    <row r="14" spans="1:46" s="22" customFormat="1" ht="30" customHeight="1">
      <c r="A14" s="36">
        <v>3</v>
      </c>
      <c r="B14" s="28" t="s">
        <v>68</v>
      </c>
      <c r="C14" s="32" t="s">
        <v>70</v>
      </c>
      <c r="D14" s="28" t="s">
        <v>67</v>
      </c>
      <c r="E14" s="56">
        <v>46078</v>
      </c>
      <c r="F14" s="56"/>
      <c r="G14" s="37" t="s">
        <v>35</v>
      </c>
      <c r="H14" s="61">
        <v>8</v>
      </c>
      <c r="I14" s="61">
        <v>4</v>
      </c>
      <c r="J14" s="61"/>
      <c r="K14" s="61"/>
      <c r="L14" s="61">
        <v>8</v>
      </c>
      <c r="M14" s="61">
        <v>3</v>
      </c>
      <c r="N14" s="61"/>
      <c r="O14" s="61"/>
      <c r="P14" s="59"/>
      <c r="Q14" s="59"/>
      <c r="R14" s="59"/>
      <c r="S14" s="59"/>
      <c r="T14" s="61">
        <v>8</v>
      </c>
      <c r="U14" s="61">
        <v>4</v>
      </c>
      <c r="V14" s="61"/>
      <c r="W14" s="61"/>
      <c r="X14" s="61">
        <v>8</v>
      </c>
      <c r="Y14" s="61">
        <v>4</v>
      </c>
      <c r="Z14" s="61"/>
      <c r="AA14" s="61"/>
      <c r="AB14" s="61">
        <v>8</v>
      </c>
      <c r="AC14" s="61">
        <v>4</v>
      </c>
      <c r="AD14" s="61"/>
      <c r="AE14" s="61"/>
      <c r="AF14" s="61">
        <v>8</v>
      </c>
      <c r="AG14" s="61">
        <v>4</v>
      </c>
      <c r="AH14" s="61"/>
      <c r="AI14" s="61"/>
      <c r="AJ14" s="40">
        <f t="shared" si="0"/>
        <v>48</v>
      </c>
      <c r="AK14" s="40">
        <f t="shared" si="1"/>
        <v>23</v>
      </c>
      <c r="AL14" s="40">
        <f t="shared" si="2"/>
        <v>0</v>
      </c>
      <c r="AM14" s="40">
        <f t="shared" si="3"/>
        <v>0</v>
      </c>
      <c r="AN14" s="38">
        <f t="shared" si="4"/>
        <v>0</v>
      </c>
      <c r="AO14" s="38">
        <f t="shared" si="4"/>
        <v>0</v>
      </c>
      <c r="AP14" s="38">
        <f t="shared" si="4"/>
        <v>0</v>
      </c>
      <c r="AQ14" s="38">
        <f t="shared" si="4"/>
        <v>0</v>
      </c>
      <c r="AR14" s="39"/>
      <c r="AS14" s="39"/>
      <c r="AT14" s="29"/>
    </row>
    <row r="15" spans="1:46" s="22" customFormat="1" ht="30" customHeight="1">
      <c r="A15" s="36">
        <v>4</v>
      </c>
      <c r="B15" s="28" t="s">
        <v>122</v>
      </c>
      <c r="C15" s="32" t="s">
        <v>105</v>
      </c>
      <c r="D15" s="28" t="s">
        <v>78</v>
      </c>
      <c r="E15" s="56">
        <v>46111</v>
      </c>
      <c r="F15" s="56"/>
      <c r="G15" s="37" t="s">
        <v>35</v>
      </c>
      <c r="H15" s="61">
        <v>8</v>
      </c>
      <c r="I15" s="61">
        <v>4</v>
      </c>
      <c r="J15" s="61"/>
      <c r="K15" s="61"/>
      <c r="L15" s="61">
        <v>7.5</v>
      </c>
      <c r="M15" s="61"/>
      <c r="N15" s="61"/>
      <c r="O15" s="61"/>
      <c r="P15" s="59"/>
      <c r="Q15" s="59"/>
      <c r="R15" s="59"/>
      <c r="S15" s="59"/>
      <c r="T15" s="61">
        <v>8</v>
      </c>
      <c r="U15" s="61">
        <v>4</v>
      </c>
      <c r="V15" s="61"/>
      <c r="W15" s="61"/>
      <c r="X15" s="61">
        <v>8</v>
      </c>
      <c r="Y15" s="61">
        <v>4</v>
      </c>
      <c r="Z15" s="61"/>
      <c r="AA15" s="61"/>
      <c r="AB15" s="61">
        <v>8</v>
      </c>
      <c r="AC15" s="61">
        <v>3</v>
      </c>
      <c r="AD15" s="61"/>
      <c r="AE15" s="61"/>
      <c r="AF15" s="61">
        <v>8</v>
      </c>
      <c r="AG15" s="61">
        <v>2</v>
      </c>
      <c r="AH15" s="61"/>
      <c r="AI15" s="61"/>
      <c r="AJ15" s="40">
        <f t="shared" si="0"/>
        <v>47.5</v>
      </c>
      <c r="AK15" s="40">
        <f t="shared" si="1"/>
        <v>17</v>
      </c>
      <c r="AL15" s="40">
        <f t="shared" si="2"/>
        <v>0</v>
      </c>
      <c r="AM15" s="40">
        <f t="shared" si="3"/>
        <v>0</v>
      </c>
      <c r="AN15" s="38">
        <f t="shared" si="4"/>
        <v>0</v>
      </c>
      <c r="AO15" s="38">
        <f t="shared" si="4"/>
        <v>0</v>
      </c>
      <c r="AP15" s="38">
        <f t="shared" si="4"/>
        <v>0</v>
      </c>
      <c r="AQ15" s="38">
        <f t="shared" si="4"/>
        <v>0</v>
      </c>
      <c r="AR15" s="39"/>
      <c r="AS15" s="39"/>
      <c r="AT15" s="64"/>
    </row>
    <row r="16" spans="1:46" s="22" customFormat="1" ht="30" customHeight="1">
      <c r="A16" s="36">
        <v>5</v>
      </c>
      <c r="B16" s="28" t="s">
        <v>46</v>
      </c>
      <c r="C16" s="32" t="s">
        <v>45</v>
      </c>
      <c r="D16" s="28" t="s">
        <v>44</v>
      </c>
      <c r="E16" s="56">
        <v>45964</v>
      </c>
      <c r="F16" s="56" t="s">
        <v>56</v>
      </c>
      <c r="G16" s="37" t="s">
        <v>43</v>
      </c>
      <c r="H16" s="61"/>
      <c r="I16" s="61"/>
      <c r="J16" s="61"/>
      <c r="K16" s="61"/>
      <c r="L16" s="61">
        <v>8</v>
      </c>
      <c r="M16" s="61"/>
      <c r="N16" s="61"/>
      <c r="O16" s="61"/>
      <c r="P16" s="59"/>
      <c r="Q16" s="59"/>
      <c r="R16" s="59"/>
      <c r="S16" s="59"/>
      <c r="T16" s="61">
        <v>8</v>
      </c>
      <c r="U16" s="61">
        <v>4</v>
      </c>
      <c r="V16" s="61"/>
      <c r="W16" s="61"/>
      <c r="X16" s="61">
        <v>8</v>
      </c>
      <c r="Y16" s="61">
        <v>4</v>
      </c>
      <c r="Z16" s="61"/>
      <c r="AA16" s="61"/>
      <c r="AB16" s="61">
        <v>8</v>
      </c>
      <c r="AC16" s="61">
        <v>4</v>
      </c>
      <c r="AD16" s="61"/>
      <c r="AE16" s="61"/>
      <c r="AF16" s="61">
        <v>8</v>
      </c>
      <c r="AG16" s="61">
        <v>4</v>
      </c>
      <c r="AH16" s="61"/>
      <c r="AI16" s="61"/>
      <c r="AJ16" s="40">
        <f t="shared" si="0"/>
        <v>40</v>
      </c>
      <c r="AK16" s="40">
        <f t="shared" si="1"/>
        <v>16</v>
      </c>
      <c r="AL16" s="40">
        <f t="shared" si="2"/>
        <v>0</v>
      </c>
      <c r="AM16" s="40">
        <f t="shared" si="3"/>
        <v>0</v>
      </c>
      <c r="AN16" s="38">
        <f t="shared" si="4"/>
        <v>0</v>
      </c>
      <c r="AO16" s="38">
        <f t="shared" si="4"/>
        <v>0</v>
      </c>
      <c r="AP16" s="38">
        <f t="shared" si="4"/>
        <v>0</v>
      </c>
      <c r="AQ16" s="38">
        <f t="shared" si="4"/>
        <v>0</v>
      </c>
      <c r="AR16" s="39"/>
      <c r="AS16" s="39"/>
      <c r="AT16" s="29"/>
    </row>
    <row r="17" spans="1:46" s="22" customFormat="1" ht="30" customHeight="1">
      <c r="A17" s="36">
        <v>6</v>
      </c>
      <c r="B17" s="28" t="s">
        <v>121</v>
      </c>
      <c r="C17" s="32" t="s">
        <v>110</v>
      </c>
      <c r="D17" s="29" t="s">
        <v>83</v>
      </c>
      <c r="E17" s="56">
        <v>46106</v>
      </c>
      <c r="F17" s="56"/>
      <c r="G17" s="37" t="s">
        <v>43</v>
      </c>
      <c r="H17" s="61">
        <v>4</v>
      </c>
      <c r="I17" s="61"/>
      <c r="J17" s="61"/>
      <c r="K17" s="61"/>
      <c r="L17" s="61">
        <v>8</v>
      </c>
      <c r="M17" s="61"/>
      <c r="N17" s="61"/>
      <c r="O17" s="61"/>
      <c r="P17" s="59"/>
      <c r="Q17" s="59"/>
      <c r="R17" s="59"/>
      <c r="S17" s="59"/>
      <c r="T17" s="61">
        <v>8</v>
      </c>
      <c r="U17" s="61">
        <v>3</v>
      </c>
      <c r="V17" s="61"/>
      <c r="W17" s="61"/>
      <c r="X17" s="61">
        <v>8</v>
      </c>
      <c r="Y17" s="61">
        <v>3</v>
      </c>
      <c r="Z17" s="61"/>
      <c r="AA17" s="61"/>
      <c r="AB17" s="61">
        <v>8</v>
      </c>
      <c r="AC17" s="61"/>
      <c r="AD17" s="61"/>
      <c r="AE17" s="61"/>
      <c r="AF17" s="61">
        <v>8</v>
      </c>
      <c r="AG17" s="61"/>
      <c r="AH17" s="61"/>
      <c r="AI17" s="61"/>
      <c r="AJ17" s="40">
        <f t="shared" si="0"/>
        <v>44</v>
      </c>
      <c r="AK17" s="40">
        <f t="shared" si="1"/>
        <v>6</v>
      </c>
      <c r="AL17" s="40">
        <f t="shared" si="2"/>
        <v>0</v>
      </c>
      <c r="AM17" s="40">
        <f t="shared" si="3"/>
        <v>0</v>
      </c>
      <c r="AN17" s="38">
        <f t="shared" si="4"/>
        <v>0</v>
      </c>
      <c r="AO17" s="38">
        <f t="shared" si="4"/>
        <v>0</v>
      </c>
      <c r="AP17" s="38">
        <f t="shared" si="4"/>
        <v>0</v>
      </c>
      <c r="AQ17" s="38">
        <f t="shared" si="4"/>
        <v>0</v>
      </c>
      <c r="AR17" s="39"/>
      <c r="AS17" s="39"/>
      <c r="AT17" s="64"/>
    </row>
    <row r="18" spans="1:46" s="22" customFormat="1" ht="30" customHeight="1">
      <c r="A18" s="36">
        <v>7</v>
      </c>
      <c r="B18" s="28" t="s">
        <v>123</v>
      </c>
      <c r="C18" s="32" t="s">
        <v>111</v>
      </c>
      <c r="D18" s="29" t="s">
        <v>84</v>
      </c>
      <c r="E18" s="56">
        <v>46106</v>
      </c>
      <c r="F18" s="56"/>
      <c r="G18" s="37" t="s">
        <v>43</v>
      </c>
      <c r="H18" s="61">
        <v>8</v>
      </c>
      <c r="I18" s="61"/>
      <c r="J18" s="61"/>
      <c r="K18" s="61"/>
      <c r="L18" s="61">
        <v>8</v>
      </c>
      <c r="M18" s="61"/>
      <c r="N18" s="61"/>
      <c r="O18" s="61"/>
      <c r="P18" s="59"/>
      <c r="Q18" s="59"/>
      <c r="R18" s="59"/>
      <c r="S18" s="59"/>
      <c r="T18" s="61">
        <v>8</v>
      </c>
      <c r="U18" s="61">
        <v>3</v>
      </c>
      <c r="V18" s="61"/>
      <c r="W18" s="61"/>
      <c r="X18" s="61">
        <v>8</v>
      </c>
      <c r="Y18" s="61">
        <v>3</v>
      </c>
      <c r="Z18" s="61"/>
      <c r="AA18" s="61"/>
      <c r="AB18" s="61">
        <v>8</v>
      </c>
      <c r="AC18" s="61"/>
      <c r="AD18" s="61"/>
      <c r="AE18" s="61"/>
      <c r="AF18" s="61">
        <v>8</v>
      </c>
      <c r="AG18" s="61">
        <v>3</v>
      </c>
      <c r="AH18" s="61"/>
      <c r="AI18" s="61"/>
      <c r="AJ18" s="40">
        <f t="shared" si="0"/>
        <v>48</v>
      </c>
      <c r="AK18" s="40">
        <f t="shared" si="1"/>
        <v>9</v>
      </c>
      <c r="AL18" s="40">
        <f t="shared" si="2"/>
        <v>0</v>
      </c>
      <c r="AM18" s="40">
        <f t="shared" si="3"/>
        <v>0</v>
      </c>
      <c r="AN18" s="38">
        <f t="shared" si="4"/>
        <v>0</v>
      </c>
      <c r="AO18" s="38">
        <f t="shared" si="4"/>
        <v>0</v>
      </c>
      <c r="AP18" s="38">
        <f t="shared" si="4"/>
        <v>0</v>
      </c>
      <c r="AQ18" s="38">
        <f t="shared" si="4"/>
        <v>0</v>
      </c>
      <c r="AR18" s="39"/>
      <c r="AS18" s="39"/>
      <c r="AT18" s="64"/>
    </row>
    <row r="19" spans="1:46" s="22" customFormat="1" ht="30" customHeight="1">
      <c r="A19" s="36">
        <v>8</v>
      </c>
      <c r="B19" s="28" t="s">
        <v>124</v>
      </c>
      <c r="C19" s="32" t="s">
        <v>112</v>
      </c>
      <c r="D19" s="29" t="s">
        <v>85</v>
      </c>
      <c r="E19" s="56">
        <v>46111</v>
      </c>
      <c r="F19" s="56"/>
      <c r="G19" s="37" t="s">
        <v>43</v>
      </c>
      <c r="H19" s="61">
        <v>8</v>
      </c>
      <c r="I19" s="61">
        <v>3</v>
      </c>
      <c r="J19" s="61"/>
      <c r="K19" s="61"/>
      <c r="L19" s="61">
        <v>8</v>
      </c>
      <c r="M19" s="61"/>
      <c r="N19" s="61"/>
      <c r="O19" s="61"/>
      <c r="P19" s="59"/>
      <c r="Q19" s="59"/>
      <c r="R19" s="59"/>
      <c r="S19" s="59"/>
      <c r="T19" s="61"/>
      <c r="U19" s="61"/>
      <c r="V19" s="61"/>
      <c r="W19" s="61"/>
      <c r="X19" s="61">
        <v>8</v>
      </c>
      <c r="Y19" s="61">
        <v>3</v>
      </c>
      <c r="Z19" s="61"/>
      <c r="AA19" s="61"/>
      <c r="AB19" s="61">
        <v>4</v>
      </c>
      <c r="AC19" s="61">
        <v>3</v>
      </c>
      <c r="AD19" s="61"/>
      <c r="AE19" s="61"/>
      <c r="AF19" s="61">
        <v>4</v>
      </c>
      <c r="AG19" s="61">
        <v>4</v>
      </c>
      <c r="AH19" s="61"/>
      <c r="AI19" s="61"/>
      <c r="AJ19" s="40">
        <f t="shared" si="0"/>
        <v>32</v>
      </c>
      <c r="AK19" s="40">
        <f t="shared" si="1"/>
        <v>13</v>
      </c>
      <c r="AL19" s="40">
        <f t="shared" si="2"/>
        <v>0</v>
      </c>
      <c r="AM19" s="40">
        <f t="shared" si="3"/>
        <v>0</v>
      </c>
      <c r="AN19" s="38">
        <f t="shared" si="4"/>
        <v>0</v>
      </c>
      <c r="AO19" s="38">
        <f t="shared" si="4"/>
        <v>0</v>
      </c>
      <c r="AP19" s="38">
        <f t="shared" si="4"/>
        <v>0</v>
      </c>
      <c r="AQ19" s="38">
        <f t="shared" si="4"/>
        <v>0</v>
      </c>
      <c r="AR19" s="39"/>
      <c r="AS19" s="39"/>
      <c r="AT19" s="64"/>
    </row>
    <row r="20" spans="1:46" s="22" customFormat="1" ht="30" customHeight="1">
      <c r="A20" s="36">
        <v>9</v>
      </c>
      <c r="B20" s="28" t="s">
        <v>93</v>
      </c>
      <c r="C20" s="32" t="s">
        <v>116</v>
      </c>
      <c r="D20" s="29" t="s">
        <v>89</v>
      </c>
      <c r="E20" s="56">
        <v>46087</v>
      </c>
      <c r="F20" s="56"/>
      <c r="G20" s="37" t="s">
        <v>92</v>
      </c>
      <c r="H20" s="61"/>
      <c r="I20" s="61">
        <v>2</v>
      </c>
      <c r="J20" s="61">
        <v>8</v>
      </c>
      <c r="K20" s="61">
        <v>2</v>
      </c>
      <c r="L20" s="61"/>
      <c r="M20" s="61">
        <v>2</v>
      </c>
      <c r="N20" s="61">
        <v>8</v>
      </c>
      <c r="O20" s="61">
        <v>2</v>
      </c>
      <c r="P20" s="59"/>
      <c r="Q20" s="59"/>
      <c r="R20" s="59"/>
      <c r="S20" s="59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40">
        <f t="shared" si="0"/>
        <v>0</v>
      </c>
      <c r="AK20" s="40">
        <f t="shared" si="1"/>
        <v>4</v>
      </c>
      <c r="AL20" s="40">
        <f t="shared" si="2"/>
        <v>16</v>
      </c>
      <c r="AM20" s="40">
        <f t="shared" si="3"/>
        <v>4</v>
      </c>
      <c r="AN20" s="38">
        <f t="shared" si="4"/>
        <v>0</v>
      </c>
      <c r="AO20" s="38">
        <f t="shared" si="4"/>
        <v>0</v>
      </c>
      <c r="AP20" s="38">
        <f t="shared" si="4"/>
        <v>0</v>
      </c>
      <c r="AQ20" s="38">
        <f t="shared" si="4"/>
        <v>0</v>
      </c>
      <c r="AR20" s="39"/>
      <c r="AS20" s="39"/>
      <c r="AT20" s="64"/>
    </row>
    <row r="21" spans="1:46" s="22" customFormat="1" ht="30" customHeight="1">
      <c r="A21" s="36">
        <v>10</v>
      </c>
      <c r="B21" s="28" t="s">
        <v>119</v>
      </c>
      <c r="C21" s="32" t="s">
        <v>117</v>
      </c>
      <c r="D21" s="66" t="s">
        <v>90</v>
      </c>
      <c r="E21" s="56">
        <v>46097</v>
      </c>
      <c r="F21" s="56">
        <v>46154</v>
      </c>
      <c r="G21" s="37" t="s">
        <v>92</v>
      </c>
      <c r="H21" s="60"/>
      <c r="I21" s="60"/>
      <c r="J21" s="60"/>
      <c r="K21" s="60"/>
      <c r="L21" s="60"/>
      <c r="M21" s="60"/>
      <c r="N21" s="60"/>
      <c r="O21" s="60"/>
      <c r="P21" s="59"/>
      <c r="Q21" s="59"/>
      <c r="R21" s="59"/>
      <c r="S21" s="59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40">
        <f t="shared" si="0"/>
        <v>0</v>
      </c>
      <c r="AK21" s="40">
        <f t="shared" si="1"/>
        <v>0</v>
      </c>
      <c r="AL21" s="40">
        <f t="shared" si="2"/>
        <v>0</v>
      </c>
      <c r="AM21" s="40">
        <f t="shared" si="3"/>
        <v>0</v>
      </c>
      <c r="AN21" s="38">
        <f t="shared" si="4"/>
        <v>0</v>
      </c>
      <c r="AO21" s="38">
        <f t="shared" si="4"/>
        <v>0</v>
      </c>
      <c r="AP21" s="38">
        <f t="shared" si="4"/>
        <v>0</v>
      </c>
      <c r="AQ21" s="38">
        <f t="shared" si="4"/>
        <v>0</v>
      </c>
      <c r="AR21" s="39"/>
      <c r="AS21" s="39"/>
      <c r="AT21" s="64"/>
    </row>
    <row r="22" spans="1:46" s="22" customFormat="1" ht="30" customHeight="1">
      <c r="A22" s="36">
        <v>11</v>
      </c>
      <c r="B22" s="28" t="s">
        <v>120</v>
      </c>
      <c r="C22" s="32" t="s">
        <v>118</v>
      </c>
      <c r="D22" s="66" t="s">
        <v>91</v>
      </c>
      <c r="E22" s="56">
        <v>46097</v>
      </c>
      <c r="F22" s="56">
        <v>46154</v>
      </c>
      <c r="G22" s="37" t="s">
        <v>92</v>
      </c>
      <c r="H22" s="60"/>
      <c r="I22" s="60"/>
      <c r="J22" s="60"/>
      <c r="K22" s="60"/>
      <c r="L22" s="60"/>
      <c r="M22" s="60"/>
      <c r="N22" s="60"/>
      <c r="O22" s="60"/>
      <c r="P22" s="59"/>
      <c r="Q22" s="59"/>
      <c r="R22" s="59"/>
      <c r="S22" s="59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40">
        <f t="shared" si="0"/>
        <v>0</v>
      </c>
      <c r="AK22" s="40">
        <f t="shared" si="1"/>
        <v>0</v>
      </c>
      <c r="AL22" s="40">
        <f t="shared" si="2"/>
        <v>0</v>
      </c>
      <c r="AM22" s="40">
        <f t="shared" si="3"/>
        <v>0</v>
      </c>
      <c r="AN22" s="38">
        <f t="shared" si="4"/>
        <v>0</v>
      </c>
      <c r="AO22" s="38">
        <f t="shared" si="4"/>
        <v>0</v>
      </c>
      <c r="AP22" s="38">
        <f t="shared" si="4"/>
        <v>0</v>
      </c>
      <c r="AQ22" s="38">
        <f t="shared" si="4"/>
        <v>0</v>
      </c>
      <c r="AR22" s="39"/>
      <c r="AS22" s="39"/>
      <c r="AT22" s="64"/>
    </row>
    <row r="23" spans="1:46" s="22" customFormat="1" ht="30" customHeight="1">
      <c r="A23" s="36">
        <v>12</v>
      </c>
      <c r="B23" s="28" t="s">
        <v>94</v>
      </c>
      <c r="C23" s="32" t="s">
        <v>128</v>
      </c>
      <c r="D23" s="29" t="s">
        <v>98</v>
      </c>
      <c r="E23" s="56">
        <v>46085</v>
      </c>
      <c r="F23" s="56" t="s">
        <v>56</v>
      </c>
      <c r="G23" s="37"/>
      <c r="H23" s="61"/>
      <c r="I23" s="61">
        <v>2</v>
      </c>
      <c r="J23" s="61">
        <v>8</v>
      </c>
      <c r="K23" s="61"/>
      <c r="L23" s="61"/>
      <c r="M23" s="61">
        <v>2</v>
      </c>
      <c r="N23" s="61">
        <v>8</v>
      </c>
      <c r="O23" s="61">
        <v>2</v>
      </c>
      <c r="P23" s="59"/>
      <c r="Q23" s="59"/>
      <c r="R23" s="59"/>
      <c r="S23" s="59"/>
      <c r="T23" s="61"/>
      <c r="U23" s="61">
        <v>2</v>
      </c>
      <c r="V23" s="61">
        <v>8</v>
      </c>
      <c r="W23" s="61">
        <v>2</v>
      </c>
      <c r="X23" s="61"/>
      <c r="Y23" s="61">
        <v>2</v>
      </c>
      <c r="Z23" s="61">
        <v>8</v>
      </c>
      <c r="AA23" s="61">
        <v>2</v>
      </c>
      <c r="AB23" s="61"/>
      <c r="AC23" s="61">
        <v>2</v>
      </c>
      <c r="AD23" s="61">
        <v>8</v>
      </c>
      <c r="AE23" s="61">
        <v>2</v>
      </c>
      <c r="AF23" s="61"/>
      <c r="AG23" s="61">
        <v>2</v>
      </c>
      <c r="AH23" s="61">
        <v>8</v>
      </c>
      <c r="AI23" s="61">
        <v>2</v>
      </c>
      <c r="AJ23" s="40">
        <f t="shared" si="0"/>
        <v>0</v>
      </c>
      <c r="AK23" s="40">
        <f t="shared" si="1"/>
        <v>12</v>
      </c>
      <c r="AL23" s="40">
        <f t="shared" si="2"/>
        <v>48</v>
      </c>
      <c r="AM23" s="40">
        <f t="shared" si="3"/>
        <v>10</v>
      </c>
      <c r="AN23" s="38">
        <f t="shared" si="4"/>
        <v>0</v>
      </c>
      <c r="AO23" s="38">
        <f t="shared" si="4"/>
        <v>0</v>
      </c>
      <c r="AP23" s="38">
        <f t="shared" si="4"/>
        <v>0</v>
      </c>
      <c r="AQ23" s="38">
        <f t="shared" si="4"/>
        <v>0</v>
      </c>
      <c r="AR23" s="39"/>
      <c r="AS23" s="39"/>
      <c r="AT23" s="64"/>
    </row>
    <row r="24" spans="1:46" s="22" customFormat="1" ht="30" customHeight="1">
      <c r="A24" s="36">
        <v>13</v>
      </c>
      <c r="B24" s="28" t="s">
        <v>95</v>
      </c>
      <c r="C24" s="32" t="s">
        <v>127</v>
      </c>
      <c r="D24" s="29" t="s">
        <v>99</v>
      </c>
      <c r="E24" s="56">
        <v>46085</v>
      </c>
      <c r="F24" s="56" t="s">
        <v>56</v>
      </c>
      <c r="G24" s="37"/>
      <c r="H24" s="61"/>
      <c r="I24" s="61">
        <v>2</v>
      </c>
      <c r="J24" s="61">
        <v>8</v>
      </c>
      <c r="K24" s="61">
        <v>2</v>
      </c>
      <c r="L24" s="61"/>
      <c r="M24" s="61">
        <v>2</v>
      </c>
      <c r="N24" s="61">
        <v>8</v>
      </c>
      <c r="O24" s="61">
        <v>2</v>
      </c>
      <c r="P24" s="59"/>
      <c r="Q24" s="59"/>
      <c r="R24" s="59"/>
      <c r="S24" s="59"/>
      <c r="T24" s="61"/>
      <c r="U24" s="61">
        <v>2</v>
      </c>
      <c r="V24" s="61">
        <v>8</v>
      </c>
      <c r="W24" s="61">
        <v>2</v>
      </c>
      <c r="X24" s="61"/>
      <c r="Y24" s="61">
        <v>2</v>
      </c>
      <c r="Z24" s="61">
        <v>8</v>
      </c>
      <c r="AA24" s="61">
        <v>2</v>
      </c>
      <c r="AB24" s="61"/>
      <c r="AC24" s="61">
        <v>2</v>
      </c>
      <c r="AD24" s="61">
        <v>8</v>
      </c>
      <c r="AE24" s="61">
        <v>2</v>
      </c>
      <c r="AF24" s="61"/>
      <c r="AG24" s="61">
        <v>2</v>
      </c>
      <c r="AH24" s="61">
        <v>8</v>
      </c>
      <c r="AI24" s="61">
        <v>2</v>
      </c>
      <c r="AJ24" s="40">
        <f t="shared" si="0"/>
        <v>0</v>
      </c>
      <c r="AK24" s="40">
        <f t="shared" si="1"/>
        <v>12</v>
      </c>
      <c r="AL24" s="40">
        <f t="shared" si="2"/>
        <v>48</v>
      </c>
      <c r="AM24" s="40">
        <f t="shared" si="3"/>
        <v>12</v>
      </c>
      <c r="AN24" s="38">
        <f t="shared" si="4"/>
        <v>0</v>
      </c>
      <c r="AO24" s="38">
        <f t="shared" si="4"/>
        <v>0</v>
      </c>
      <c r="AP24" s="38">
        <f t="shared" si="4"/>
        <v>0</v>
      </c>
      <c r="AQ24" s="38">
        <f t="shared" si="4"/>
        <v>0</v>
      </c>
      <c r="AR24" s="39"/>
      <c r="AS24" s="39"/>
      <c r="AT24" s="64"/>
    </row>
    <row r="25" spans="1:46" s="22" customFormat="1" ht="30" customHeight="1">
      <c r="A25" s="36">
        <v>14</v>
      </c>
      <c r="B25" s="28" t="s">
        <v>96</v>
      </c>
      <c r="C25" s="32" t="s">
        <v>126</v>
      </c>
      <c r="D25" s="29" t="s">
        <v>100</v>
      </c>
      <c r="E25" s="56">
        <v>46085</v>
      </c>
      <c r="F25" s="56"/>
      <c r="G25" s="37"/>
      <c r="H25" s="61"/>
      <c r="I25" s="61">
        <v>2</v>
      </c>
      <c r="J25" s="61">
        <v>8</v>
      </c>
      <c r="K25" s="61">
        <v>2</v>
      </c>
      <c r="L25" s="61"/>
      <c r="M25" s="61">
        <v>2</v>
      </c>
      <c r="N25" s="61">
        <v>8</v>
      </c>
      <c r="O25" s="61">
        <v>2</v>
      </c>
      <c r="P25" s="59"/>
      <c r="Q25" s="59"/>
      <c r="R25" s="59"/>
      <c r="S25" s="59"/>
      <c r="T25" s="61"/>
      <c r="U25" s="61">
        <v>2</v>
      </c>
      <c r="V25" s="61">
        <v>8</v>
      </c>
      <c r="W25" s="61">
        <v>2</v>
      </c>
      <c r="X25" s="61"/>
      <c r="Y25" s="61">
        <v>2</v>
      </c>
      <c r="Z25" s="61">
        <v>8</v>
      </c>
      <c r="AA25" s="61">
        <v>2</v>
      </c>
      <c r="AB25" s="61"/>
      <c r="AC25" s="61">
        <v>2</v>
      </c>
      <c r="AD25" s="61">
        <v>8</v>
      </c>
      <c r="AE25" s="61">
        <v>2</v>
      </c>
      <c r="AF25" s="61"/>
      <c r="AG25" s="61">
        <v>2</v>
      </c>
      <c r="AH25" s="61">
        <v>8</v>
      </c>
      <c r="AI25" s="61">
        <v>2</v>
      </c>
      <c r="AJ25" s="40">
        <f t="shared" si="0"/>
        <v>0</v>
      </c>
      <c r="AK25" s="40">
        <f t="shared" si="1"/>
        <v>12</v>
      </c>
      <c r="AL25" s="40">
        <f t="shared" si="2"/>
        <v>48</v>
      </c>
      <c r="AM25" s="40">
        <f t="shared" si="3"/>
        <v>12</v>
      </c>
      <c r="AN25" s="38">
        <f t="shared" si="4"/>
        <v>0</v>
      </c>
      <c r="AO25" s="38">
        <f t="shared" si="4"/>
        <v>0</v>
      </c>
      <c r="AP25" s="38">
        <f t="shared" si="4"/>
        <v>0</v>
      </c>
      <c r="AQ25" s="38">
        <f t="shared" si="4"/>
        <v>0</v>
      </c>
      <c r="AR25" s="39"/>
      <c r="AS25" s="39"/>
      <c r="AT25" s="64"/>
    </row>
    <row r="26" spans="1:46" s="22" customFormat="1" ht="30" customHeight="1">
      <c r="A26" s="36">
        <v>15</v>
      </c>
      <c r="B26" s="28" t="s">
        <v>97</v>
      </c>
      <c r="C26" s="32" t="s">
        <v>125</v>
      </c>
      <c r="D26" s="29" t="s">
        <v>101</v>
      </c>
      <c r="E26" s="56">
        <v>46085</v>
      </c>
      <c r="F26" s="56"/>
      <c r="G26" s="37"/>
      <c r="H26" s="61"/>
      <c r="I26" s="61">
        <v>2</v>
      </c>
      <c r="J26" s="61">
        <v>8</v>
      </c>
      <c r="K26" s="61">
        <v>2</v>
      </c>
      <c r="L26" s="61"/>
      <c r="M26" s="61">
        <v>2</v>
      </c>
      <c r="N26" s="61">
        <v>8</v>
      </c>
      <c r="O26" s="61">
        <v>2</v>
      </c>
      <c r="P26" s="59"/>
      <c r="Q26" s="59"/>
      <c r="R26" s="59"/>
      <c r="S26" s="59"/>
      <c r="T26" s="61"/>
      <c r="U26" s="61">
        <v>2</v>
      </c>
      <c r="V26" s="61">
        <v>8</v>
      </c>
      <c r="W26" s="61">
        <v>2</v>
      </c>
      <c r="X26" s="61"/>
      <c r="Y26" s="61">
        <v>2</v>
      </c>
      <c r="Z26" s="61">
        <v>8</v>
      </c>
      <c r="AA26" s="61">
        <v>2</v>
      </c>
      <c r="AB26" s="61"/>
      <c r="AC26" s="61">
        <v>2</v>
      </c>
      <c r="AD26" s="61">
        <v>8</v>
      </c>
      <c r="AE26" s="61">
        <v>2</v>
      </c>
      <c r="AF26" s="61"/>
      <c r="AG26" s="61">
        <v>2</v>
      </c>
      <c r="AH26" s="61">
        <v>8</v>
      </c>
      <c r="AI26" s="61">
        <v>2</v>
      </c>
      <c r="AJ26" s="40">
        <f t="shared" si="0"/>
        <v>0</v>
      </c>
      <c r="AK26" s="40">
        <f t="shared" si="1"/>
        <v>12</v>
      </c>
      <c r="AL26" s="40">
        <f t="shared" si="2"/>
        <v>48</v>
      </c>
      <c r="AM26" s="40">
        <f t="shared" si="3"/>
        <v>12</v>
      </c>
      <c r="AN26" s="38">
        <f t="shared" si="4"/>
        <v>0</v>
      </c>
      <c r="AO26" s="38">
        <f t="shared" si="4"/>
        <v>0</v>
      </c>
      <c r="AP26" s="38">
        <f t="shared" si="4"/>
        <v>0</v>
      </c>
      <c r="AQ26" s="38">
        <f t="shared" si="4"/>
        <v>0</v>
      </c>
      <c r="AR26" s="39"/>
      <c r="AS26" s="39"/>
      <c r="AT26" s="64"/>
    </row>
    <row r="27" spans="1:46" s="22" customFormat="1" ht="30" customHeight="1">
      <c r="A27" s="36">
        <v>16</v>
      </c>
      <c r="B27" s="28" t="s">
        <v>156</v>
      </c>
      <c r="C27" s="32" t="s">
        <v>171</v>
      </c>
      <c r="D27" s="29" t="s">
        <v>157</v>
      </c>
      <c r="E27" s="56"/>
      <c r="F27" s="56"/>
      <c r="G27" s="37"/>
      <c r="H27" s="61">
        <v>8</v>
      </c>
      <c r="I27" s="61"/>
      <c r="J27" s="61"/>
      <c r="K27" s="61"/>
      <c r="L27" s="61">
        <v>8</v>
      </c>
      <c r="M27" s="61"/>
      <c r="N27" s="61"/>
      <c r="O27" s="61"/>
      <c r="P27" s="59"/>
      <c r="Q27" s="59"/>
      <c r="R27" s="59"/>
      <c r="S27" s="59"/>
      <c r="T27" s="61">
        <v>8</v>
      </c>
      <c r="U27" s="61">
        <v>3</v>
      </c>
      <c r="V27" s="61"/>
      <c r="W27" s="61"/>
      <c r="X27" s="61">
        <v>8</v>
      </c>
      <c r="Y27" s="61">
        <v>3</v>
      </c>
      <c r="Z27" s="61"/>
      <c r="AA27" s="61"/>
      <c r="AB27" s="61">
        <v>8</v>
      </c>
      <c r="AC27" s="61"/>
      <c r="AD27" s="61"/>
      <c r="AE27" s="61"/>
      <c r="AF27" s="61">
        <v>8</v>
      </c>
      <c r="AG27" s="61">
        <v>3</v>
      </c>
      <c r="AH27" s="61"/>
      <c r="AI27" s="61"/>
      <c r="AJ27" s="40">
        <f t="shared" si="0"/>
        <v>48</v>
      </c>
      <c r="AK27" s="40">
        <f t="shared" si="1"/>
        <v>9</v>
      </c>
      <c r="AL27" s="40">
        <f t="shared" si="2"/>
        <v>0</v>
      </c>
      <c r="AM27" s="40">
        <f t="shared" si="3"/>
        <v>0</v>
      </c>
      <c r="AN27" s="38">
        <f t="shared" si="4"/>
        <v>0</v>
      </c>
      <c r="AO27" s="38">
        <f t="shared" si="4"/>
        <v>0</v>
      </c>
      <c r="AP27" s="38">
        <f t="shared" si="4"/>
        <v>0</v>
      </c>
      <c r="AQ27" s="38">
        <f t="shared" si="4"/>
        <v>0</v>
      </c>
      <c r="AR27" s="39"/>
      <c r="AS27" s="39"/>
      <c r="AT27" s="29"/>
    </row>
    <row r="28" spans="1:46" s="22" customFormat="1" ht="30" customHeight="1">
      <c r="A28" s="36">
        <v>17</v>
      </c>
      <c r="B28" s="28" t="s">
        <v>160</v>
      </c>
      <c r="C28" s="32" t="s">
        <v>172</v>
      </c>
      <c r="D28" s="29" t="s">
        <v>158</v>
      </c>
      <c r="E28" s="56"/>
      <c r="F28" s="56"/>
      <c r="G28" s="37"/>
      <c r="H28" s="61">
        <v>8</v>
      </c>
      <c r="I28" s="61">
        <v>3</v>
      </c>
      <c r="J28" s="61"/>
      <c r="K28" s="61"/>
      <c r="L28" s="61">
        <v>8</v>
      </c>
      <c r="M28" s="61"/>
      <c r="N28" s="61"/>
      <c r="O28" s="61"/>
      <c r="P28" s="59"/>
      <c r="Q28" s="59"/>
      <c r="R28" s="59"/>
      <c r="S28" s="59"/>
      <c r="T28" s="61">
        <v>8</v>
      </c>
      <c r="U28" s="61">
        <v>3</v>
      </c>
      <c r="V28" s="61"/>
      <c r="W28" s="61"/>
      <c r="X28" s="61">
        <v>8</v>
      </c>
      <c r="Y28" s="61">
        <v>4</v>
      </c>
      <c r="Z28" s="61"/>
      <c r="AA28" s="61"/>
      <c r="AB28" s="61">
        <v>8</v>
      </c>
      <c r="AC28" s="61">
        <v>3</v>
      </c>
      <c r="AD28" s="61"/>
      <c r="AE28" s="61"/>
      <c r="AF28" s="61">
        <v>8</v>
      </c>
      <c r="AG28" s="61">
        <v>4</v>
      </c>
      <c r="AH28" s="61"/>
      <c r="AI28" s="61"/>
      <c r="AJ28" s="40">
        <f t="shared" si="0"/>
        <v>48</v>
      </c>
      <c r="AK28" s="40">
        <f t="shared" si="1"/>
        <v>17</v>
      </c>
      <c r="AL28" s="40">
        <f t="shared" si="2"/>
        <v>0</v>
      </c>
      <c r="AM28" s="40">
        <f t="shared" si="3"/>
        <v>0</v>
      </c>
      <c r="AN28" s="38">
        <f t="shared" si="4"/>
        <v>0</v>
      </c>
      <c r="AO28" s="38">
        <f t="shared" si="4"/>
        <v>0</v>
      </c>
      <c r="AP28" s="38">
        <f t="shared" si="4"/>
        <v>0</v>
      </c>
      <c r="AQ28" s="38">
        <f t="shared" si="4"/>
        <v>0</v>
      </c>
      <c r="AR28" s="39"/>
      <c r="AS28" s="39"/>
      <c r="AT28" s="29"/>
    </row>
    <row r="29" spans="1:46" s="22" customFormat="1" ht="30" customHeight="1">
      <c r="A29" s="36">
        <v>18</v>
      </c>
      <c r="B29" s="28" t="s">
        <v>159</v>
      </c>
      <c r="C29" s="32" t="s">
        <v>189</v>
      </c>
      <c r="D29" s="29" t="s">
        <v>162</v>
      </c>
      <c r="E29" s="56"/>
      <c r="F29" s="56"/>
      <c r="G29" s="37"/>
      <c r="H29" s="61">
        <v>2.5</v>
      </c>
      <c r="I29" s="61">
        <v>4</v>
      </c>
      <c r="J29" s="61"/>
      <c r="K29" s="61"/>
      <c r="L29" s="60"/>
      <c r="M29" s="60"/>
      <c r="N29" s="60"/>
      <c r="O29" s="60"/>
      <c r="P29" s="59"/>
      <c r="Q29" s="59"/>
      <c r="R29" s="59"/>
      <c r="S29" s="59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1">
        <v>8</v>
      </c>
      <c r="AG29" s="61">
        <v>4</v>
      </c>
      <c r="AH29" s="61"/>
      <c r="AI29" s="61"/>
      <c r="AJ29" s="40">
        <f t="shared" si="0"/>
        <v>10.5</v>
      </c>
      <c r="AK29" s="40">
        <f t="shared" si="1"/>
        <v>8</v>
      </c>
      <c r="AL29" s="40">
        <f t="shared" si="2"/>
        <v>0</v>
      </c>
      <c r="AM29" s="40">
        <f t="shared" si="3"/>
        <v>0</v>
      </c>
      <c r="AN29" s="38">
        <f t="shared" si="4"/>
        <v>0</v>
      </c>
      <c r="AO29" s="38">
        <f t="shared" si="4"/>
        <v>0</v>
      </c>
      <c r="AP29" s="38">
        <f t="shared" si="4"/>
        <v>0</v>
      </c>
      <c r="AQ29" s="38">
        <f t="shared" si="4"/>
        <v>0</v>
      </c>
      <c r="AR29" s="39"/>
      <c r="AS29" s="39"/>
      <c r="AT29" s="29"/>
    </row>
    <row r="30" spans="1:46" s="22" customFormat="1" ht="30" customHeight="1">
      <c r="A30" s="36">
        <v>19</v>
      </c>
      <c r="B30" s="28" t="s">
        <v>169</v>
      </c>
      <c r="C30" s="32" t="s">
        <v>173</v>
      </c>
      <c r="D30" s="29" t="s">
        <v>168</v>
      </c>
      <c r="E30" s="56"/>
      <c r="F30" s="56"/>
      <c r="G30" s="37"/>
      <c r="H30" s="61">
        <v>8</v>
      </c>
      <c r="I30" s="61">
        <v>4</v>
      </c>
      <c r="J30" s="61"/>
      <c r="K30" s="61"/>
      <c r="L30" s="61">
        <v>8</v>
      </c>
      <c r="M30" s="61">
        <v>4</v>
      </c>
      <c r="N30" s="61"/>
      <c r="O30" s="61"/>
      <c r="P30" s="59"/>
      <c r="Q30" s="59"/>
      <c r="R30" s="59"/>
      <c r="S30" s="59"/>
      <c r="T30" s="60"/>
      <c r="U30" s="60"/>
      <c r="V30" s="60"/>
      <c r="W30" s="60"/>
      <c r="X30" s="61">
        <v>8</v>
      </c>
      <c r="Y30" s="61">
        <v>4</v>
      </c>
      <c r="Z30" s="61"/>
      <c r="AA30" s="61"/>
      <c r="AB30" s="61">
        <v>8</v>
      </c>
      <c r="AC30" s="61">
        <v>4</v>
      </c>
      <c r="AD30" s="61"/>
      <c r="AE30" s="61"/>
      <c r="AF30" s="61">
        <v>8</v>
      </c>
      <c r="AG30" s="61">
        <v>4</v>
      </c>
      <c r="AH30" s="61"/>
      <c r="AI30" s="61"/>
      <c r="AJ30" s="40">
        <f t="shared" si="0"/>
        <v>40</v>
      </c>
      <c r="AK30" s="40">
        <f t="shared" si="1"/>
        <v>20</v>
      </c>
      <c r="AL30" s="40">
        <f t="shared" si="2"/>
        <v>0</v>
      </c>
      <c r="AM30" s="40">
        <f t="shared" si="3"/>
        <v>0</v>
      </c>
      <c r="AN30" s="38">
        <f t="shared" si="4"/>
        <v>0</v>
      </c>
      <c r="AO30" s="38">
        <f t="shared" si="4"/>
        <v>0</v>
      </c>
      <c r="AP30" s="38">
        <f t="shared" si="4"/>
        <v>0</v>
      </c>
      <c r="AQ30" s="38">
        <f t="shared" si="4"/>
        <v>0</v>
      </c>
      <c r="AR30" s="39"/>
      <c r="AS30" s="39"/>
      <c r="AT30" s="29"/>
    </row>
    <row r="31" spans="1:46" s="22" customFormat="1" ht="30" customHeight="1">
      <c r="A31" s="36">
        <v>20</v>
      </c>
      <c r="B31" s="28" t="s">
        <v>165</v>
      </c>
      <c r="C31" s="32" t="s">
        <v>174</v>
      </c>
      <c r="D31" s="29" t="s">
        <v>164</v>
      </c>
      <c r="E31" s="56">
        <v>46154</v>
      </c>
      <c r="F31" s="56"/>
      <c r="G31" s="37"/>
      <c r="H31" s="61">
        <v>8</v>
      </c>
      <c r="I31" s="61">
        <v>3</v>
      </c>
      <c r="J31" s="61"/>
      <c r="K31" s="61"/>
      <c r="L31" s="61">
        <v>8</v>
      </c>
      <c r="M31" s="61"/>
      <c r="N31" s="61"/>
      <c r="O31" s="61"/>
      <c r="P31" s="59"/>
      <c r="Q31" s="59"/>
      <c r="R31" s="59"/>
      <c r="S31" s="59"/>
      <c r="T31" s="61">
        <v>8</v>
      </c>
      <c r="U31" s="61">
        <v>3</v>
      </c>
      <c r="V31" s="61"/>
      <c r="W31" s="61"/>
      <c r="X31" s="61">
        <v>8</v>
      </c>
      <c r="Y31" s="61">
        <v>4</v>
      </c>
      <c r="Z31" s="61"/>
      <c r="AA31" s="61"/>
      <c r="AB31" s="61">
        <v>6</v>
      </c>
      <c r="AC31" s="61"/>
      <c r="AD31" s="61"/>
      <c r="AE31" s="61"/>
      <c r="AF31" s="61">
        <v>8</v>
      </c>
      <c r="AG31" s="61">
        <v>4</v>
      </c>
      <c r="AH31" s="61"/>
      <c r="AI31" s="61"/>
      <c r="AJ31" s="40">
        <f t="shared" si="0"/>
        <v>46</v>
      </c>
      <c r="AK31" s="40">
        <f t="shared" si="1"/>
        <v>14</v>
      </c>
      <c r="AL31" s="40">
        <f t="shared" si="2"/>
        <v>0</v>
      </c>
      <c r="AM31" s="40">
        <f t="shared" si="3"/>
        <v>0</v>
      </c>
      <c r="AN31" s="38">
        <f t="shared" si="4"/>
        <v>0</v>
      </c>
      <c r="AO31" s="38">
        <f t="shared" si="4"/>
        <v>0</v>
      </c>
      <c r="AP31" s="38">
        <f t="shared" si="4"/>
        <v>0</v>
      </c>
      <c r="AQ31" s="38">
        <f t="shared" si="4"/>
        <v>0</v>
      </c>
      <c r="AR31" s="39"/>
      <c r="AS31" s="39"/>
      <c r="AT31" s="29"/>
    </row>
    <row r="32" spans="1:46" s="22" customFormat="1" ht="30" customHeight="1">
      <c r="A32" s="36">
        <v>21</v>
      </c>
      <c r="B32" s="28"/>
      <c r="C32" s="32" t="s">
        <v>198</v>
      </c>
      <c r="D32" s="29" t="s">
        <v>191</v>
      </c>
      <c r="E32" s="56">
        <v>45783</v>
      </c>
      <c r="F32" s="56"/>
      <c r="G32" s="37"/>
      <c r="H32" s="61">
        <v>8</v>
      </c>
      <c r="I32" s="61">
        <v>3</v>
      </c>
      <c r="J32" s="61"/>
      <c r="K32" s="61"/>
      <c r="L32" s="61">
        <v>8</v>
      </c>
      <c r="M32" s="61"/>
      <c r="N32" s="61"/>
      <c r="O32" s="61"/>
      <c r="P32" s="59"/>
      <c r="Q32" s="59"/>
      <c r="R32" s="59"/>
      <c r="S32" s="59"/>
      <c r="T32" s="61">
        <v>8</v>
      </c>
      <c r="U32" s="61">
        <v>3</v>
      </c>
      <c r="V32" s="61"/>
      <c r="W32" s="61"/>
      <c r="X32" s="61">
        <v>8</v>
      </c>
      <c r="Y32" s="61">
        <v>3</v>
      </c>
      <c r="Z32" s="61"/>
      <c r="AA32" s="61"/>
      <c r="AB32" s="61">
        <v>4</v>
      </c>
      <c r="AC32" s="61"/>
      <c r="AD32" s="61"/>
      <c r="AE32" s="61"/>
      <c r="AF32" s="61">
        <v>6.5</v>
      </c>
      <c r="AG32" s="61">
        <v>3</v>
      </c>
      <c r="AH32" s="61"/>
      <c r="AI32" s="61"/>
      <c r="AJ32" s="40">
        <f t="shared" si="0"/>
        <v>42.5</v>
      </c>
      <c r="AK32" s="40">
        <f t="shared" si="1"/>
        <v>12</v>
      </c>
      <c r="AL32" s="40">
        <f t="shared" si="2"/>
        <v>0</v>
      </c>
      <c r="AM32" s="40">
        <f t="shared" si="3"/>
        <v>0</v>
      </c>
      <c r="AN32" s="38">
        <f t="shared" ref="AN32:AQ51" si="5">SUMIF($H$11:$AI$11,AN$11,$H32:$AI32)</f>
        <v>0</v>
      </c>
      <c r="AO32" s="38">
        <f t="shared" si="5"/>
        <v>0</v>
      </c>
      <c r="AP32" s="38">
        <f t="shared" si="5"/>
        <v>0</v>
      </c>
      <c r="AQ32" s="38">
        <f t="shared" si="5"/>
        <v>0</v>
      </c>
      <c r="AR32" s="39"/>
      <c r="AS32" s="39"/>
      <c r="AT32" s="29"/>
    </row>
    <row r="33" spans="1:46" s="22" customFormat="1" ht="30" customHeight="1">
      <c r="A33" s="36">
        <v>22</v>
      </c>
      <c r="B33" s="28"/>
      <c r="C33" s="32" t="s">
        <v>197</v>
      </c>
      <c r="D33" s="29" t="s">
        <v>192</v>
      </c>
      <c r="E33" s="56">
        <v>45783</v>
      </c>
      <c r="F33" s="56">
        <v>46159</v>
      </c>
      <c r="G33" s="37"/>
      <c r="H33" s="61"/>
      <c r="I33" s="61"/>
      <c r="J33" s="61"/>
      <c r="K33" s="61"/>
      <c r="L33" s="61">
        <v>7</v>
      </c>
      <c r="M33" s="61"/>
      <c r="N33" s="61"/>
      <c r="O33" s="61"/>
      <c r="P33" s="59"/>
      <c r="Q33" s="59"/>
      <c r="R33" s="59"/>
      <c r="S33" s="59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40">
        <f t="shared" si="0"/>
        <v>7</v>
      </c>
      <c r="AK33" s="40">
        <f t="shared" si="1"/>
        <v>0</v>
      </c>
      <c r="AL33" s="40">
        <f t="shared" si="2"/>
        <v>0</v>
      </c>
      <c r="AM33" s="40">
        <f t="shared" si="3"/>
        <v>0</v>
      </c>
      <c r="AN33" s="38">
        <f t="shared" si="5"/>
        <v>0</v>
      </c>
      <c r="AO33" s="38">
        <f t="shared" si="5"/>
        <v>0</v>
      </c>
      <c r="AP33" s="38">
        <f t="shared" si="5"/>
        <v>0</v>
      </c>
      <c r="AQ33" s="38">
        <f t="shared" si="5"/>
        <v>0</v>
      </c>
      <c r="AR33" s="39"/>
      <c r="AS33" s="39"/>
      <c r="AT33" s="29"/>
    </row>
    <row r="34" spans="1:46" s="22" customFormat="1" ht="30" customHeight="1">
      <c r="A34" s="36">
        <v>23</v>
      </c>
      <c r="B34" s="28"/>
      <c r="C34" s="32" t="s">
        <v>199</v>
      </c>
      <c r="D34" s="29" t="s">
        <v>193</v>
      </c>
      <c r="E34" s="56">
        <v>45783</v>
      </c>
      <c r="F34" s="56"/>
      <c r="G34" s="37"/>
      <c r="H34" s="61">
        <v>8</v>
      </c>
      <c r="I34" s="61">
        <v>4</v>
      </c>
      <c r="J34" s="61"/>
      <c r="K34" s="61"/>
      <c r="L34" s="61">
        <v>8</v>
      </c>
      <c r="M34" s="61"/>
      <c r="N34" s="61"/>
      <c r="O34" s="61"/>
      <c r="P34" s="59"/>
      <c r="Q34" s="59"/>
      <c r="R34" s="59"/>
      <c r="S34" s="59"/>
      <c r="T34" s="61">
        <v>7.5</v>
      </c>
      <c r="U34" s="61">
        <v>4</v>
      </c>
      <c r="V34" s="61"/>
      <c r="W34" s="61"/>
      <c r="X34" s="61">
        <v>8</v>
      </c>
      <c r="Y34" s="61">
        <v>4</v>
      </c>
      <c r="Z34" s="61"/>
      <c r="AA34" s="61"/>
      <c r="AB34" s="61"/>
      <c r="AC34" s="61"/>
      <c r="AD34" s="61"/>
      <c r="AE34" s="61"/>
      <c r="AF34" s="61">
        <v>8</v>
      </c>
      <c r="AG34" s="61">
        <v>4</v>
      </c>
      <c r="AH34" s="61"/>
      <c r="AI34" s="61"/>
      <c r="AJ34" s="40">
        <f t="shared" si="0"/>
        <v>39.5</v>
      </c>
      <c r="AK34" s="40">
        <f t="shared" si="1"/>
        <v>16</v>
      </c>
      <c r="AL34" s="40">
        <f t="shared" si="2"/>
        <v>0</v>
      </c>
      <c r="AM34" s="40">
        <f t="shared" si="3"/>
        <v>0</v>
      </c>
      <c r="AN34" s="38">
        <f t="shared" si="5"/>
        <v>0</v>
      </c>
      <c r="AO34" s="38">
        <f t="shared" si="5"/>
        <v>0</v>
      </c>
      <c r="AP34" s="38">
        <f t="shared" si="5"/>
        <v>0</v>
      </c>
      <c r="AQ34" s="38">
        <f t="shared" si="5"/>
        <v>0</v>
      </c>
      <c r="AR34" s="39"/>
      <c r="AS34" s="39"/>
      <c r="AT34" s="29"/>
    </row>
    <row r="35" spans="1:46" s="22" customFormat="1" ht="30" customHeight="1">
      <c r="A35" s="36">
        <v>24</v>
      </c>
      <c r="B35" s="28"/>
      <c r="C35" s="32" t="s">
        <v>200</v>
      </c>
      <c r="D35" s="29" t="s">
        <v>194</v>
      </c>
      <c r="E35" s="56">
        <v>45783</v>
      </c>
      <c r="F35" s="56"/>
      <c r="G35" s="37"/>
      <c r="H35" s="61">
        <v>8</v>
      </c>
      <c r="I35" s="61">
        <v>3</v>
      </c>
      <c r="J35" s="61"/>
      <c r="K35" s="61"/>
      <c r="L35" s="61">
        <v>8</v>
      </c>
      <c r="M35" s="61"/>
      <c r="N35" s="61"/>
      <c r="O35" s="61"/>
      <c r="P35" s="59"/>
      <c r="Q35" s="59"/>
      <c r="R35" s="59"/>
      <c r="S35" s="59"/>
      <c r="T35" s="61">
        <v>8</v>
      </c>
      <c r="U35" s="61">
        <v>3</v>
      </c>
      <c r="V35" s="61"/>
      <c r="W35" s="61"/>
      <c r="X35" s="61">
        <v>8</v>
      </c>
      <c r="Y35" s="61">
        <v>3</v>
      </c>
      <c r="Z35" s="61"/>
      <c r="AA35" s="61"/>
      <c r="AB35" s="61">
        <v>8</v>
      </c>
      <c r="AC35" s="61">
        <v>3</v>
      </c>
      <c r="AD35" s="61"/>
      <c r="AE35" s="61"/>
      <c r="AF35" s="61">
        <v>8</v>
      </c>
      <c r="AG35" s="61">
        <v>3</v>
      </c>
      <c r="AH35" s="61"/>
      <c r="AI35" s="61"/>
      <c r="AJ35" s="40">
        <f t="shared" si="0"/>
        <v>48</v>
      </c>
      <c r="AK35" s="40">
        <f t="shared" si="1"/>
        <v>15</v>
      </c>
      <c r="AL35" s="40">
        <f t="shared" si="2"/>
        <v>0</v>
      </c>
      <c r="AM35" s="40">
        <f t="shared" si="3"/>
        <v>0</v>
      </c>
      <c r="AN35" s="38">
        <f t="shared" si="5"/>
        <v>0</v>
      </c>
      <c r="AO35" s="38">
        <f t="shared" si="5"/>
        <v>0</v>
      </c>
      <c r="AP35" s="38">
        <f t="shared" si="5"/>
        <v>0</v>
      </c>
      <c r="AQ35" s="38">
        <f t="shared" si="5"/>
        <v>0</v>
      </c>
      <c r="AR35" s="39"/>
      <c r="AS35" s="39"/>
      <c r="AT35" s="29"/>
    </row>
    <row r="36" spans="1:46" s="22" customFormat="1" ht="30" customHeight="1">
      <c r="A36" s="36">
        <v>25</v>
      </c>
      <c r="B36" s="28"/>
      <c r="C36" s="32" t="s">
        <v>196</v>
      </c>
      <c r="D36" s="29" t="s">
        <v>195</v>
      </c>
      <c r="E36" s="56">
        <v>46154</v>
      </c>
      <c r="F36" s="56"/>
      <c r="G36" s="37"/>
      <c r="H36" s="61">
        <v>8</v>
      </c>
      <c r="I36" s="61">
        <v>4</v>
      </c>
      <c r="J36" s="61"/>
      <c r="K36" s="61"/>
      <c r="L36" s="61">
        <v>8</v>
      </c>
      <c r="M36" s="61">
        <v>4</v>
      </c>
      <c r="N36" s="61"/>
      <c r="O36" s="61"/>
      <c r="P36" s="59"/>
      <c r="Q36" s="59"/>
      <c r="R36" s="59"/>
      <c r="S36" s="59"/>
      <c r="T36" s="61">
        <v>8</v>
      </c>
      <c r="U36" s="61">
        <v>4</v>
      </c>
      <c r="V36" s="61"/>
      <c r="W36" s="61"/>
      <c r="X36" s="61">
        <v>8</v>
      </c>
      <c r="Y36" s="61">
        <v>4</v>
      </c>
      <c r="Z36" s="61"/>
      <c r="AA36" s="61"/>
      <c r="AB36" s="61">
        <v>8</v>
      </c>
      <c r="AC36" s="61">
        <v>4</v>
      </c>
      <c r="AD36" s="61"/>
      <c r="AE36" s="61"/>
      <c r="AF36" s="61">
        <v>8</v>
      </c>
      <c r="AG36" s="61">
        <v>4</v>
      </c>
      <c r="AH36" s="61"/>
      <c r="AI36" s="61"/>
      <c r="AJ36" s="40">
        <f t="shared" si="0"/>
        <v>48</v>
      </c>
      <c r="AK36" s="40">
        <f t="shared" si="1"/>
        <v>24</v>
      </c>
      <c r="AL36" s="40">
        <f t="shared" si="2"/>
        <v>0</v>
      </c>
      <c r="AM36" s="40">
        <f t="shared" si="3"/>
        <v>0</v>
      </c>
      <c r="AN36" s="38">
        <f t="shared" si="5"/>
        <v>0</v>
      </c>
      <c r="AO36" s="38">
        <f t="shared" si="5"/>
        <v>0</v>
      </c>
      <c r="AP36" s="38">
        <f t="shared" si="5"/>
        <v>0</v>
      </c>
      <c r="AQ36" s="38">
        <f t="shared" si="5"/>
        <v>0</v>
      </c>
      <c r="AR36" s="39"/>
      <c r="AS36" s="39"/>
      <c r="AT36" s="29"/>
    </row>
    <row r="37" spans="1:46" s="22" customFormat="1" ht="30" customHeight="1">
      <c r="A37" s="36">
        <v>26</v>
      </c>
      <c r="B37" s="28"/>
      <c r="C37" s="32" t="s">
        <v>202</v>
      </c>
      <c r="D37" s="29" t="s">
        <v>201</v>
      </c>
      <c r="E37" s="56">
        <v>46157</v>
      </c>
      <c r="F37" s="56"/>
      <c r="G37" s="37"/>
      <c r="H37" s="61"/>
      <c r="I37" s="61"/>
      <c r="J37" s="61"/>
      <c r="K37" s="61"/>
      <c r="L37" s="61"/>
      <c r="M37" s="61"/>
      <c r="N37" s="61"/>
      <c r="O37" s="61"/>
      <c r="P37" s="59"/>
      <c r="Q37" s="59"/>
      <c r="R37" s="59"/>
      <c r="S37" s="59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40">
        <f t="shared" si="0"/>
        <v>0</v>
      </c>
      <c r="AK37" s="40">
        <f t="shared" si="1"/>
        <v>0</v>
      </c>
      <c r="AL37" s="40">
        <f t="shared" si="2"/>
        <v>0</v>
      </c>
      <c r="AM37" s="40">
        <f t="shared" si="3"/>
        <v>0</v>
      </c>
      <c r="AN37" s="38">
        <f t="shared" si="5"/>
        <v>0</v>
      </c>
      <c r="AO37" s="38">
        <f t="shared" si="5"/>
        <v>0</v>
      </c>
      <c r="AP37" s="38">
        <f t="shared" si="5"/>
        <v>0</v>
      </c>
      <c r="AQ37" s="38">
        <f t="shared" si="5"/>
        <v>0</v>
      </c>
      <c r="AR37" s="39"/>
      <c r="AS37" s="39"/>
      <c r="AT37" s="29"/>
    </row>
    <row r="38" spans="1:46" s="22" customFormat="1" ht="30" customHeight="1">
      <c r="A38" s="36">
        <v>27</v>
      </c>
      <c r="B38" s="28"/>
      <c r="C38" s="32" t="s">
        <v>204</v>
      </c>
      <c r="D38" s="29" t="s">
        <v>203</v>
      </c>
      <c r="E38" s="56">
        <v>46157</v>
      </c>
      <c r="F38" s="56"/>
      <c r="G38" s="37"/>
      <c r="H38" s="61"/>
      <c r="I38" s="61"/>
      <c r="J38" s="61"/>
      <c r="K38" s="61"/>
      <c r="L38" s="61"/>
      <c r="M38" s="61"/>
      <c r="N38" s="61"/>
      <c r="O38" s="61"/>
      <c r="P38" s="59"/>
      <c r="Q38" s="59"/>
      <c r="R38" s="59"/>
      <c r="S38" s="59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40">
        <f t="shared" si="0"/>
        <v>0</v>
      </c>
      <c r="AK38" s="40">
        <f t="shared" si="1"/>
        <v>0</v>
      </c>
      <c r="AL38" s="40">
        <f t="shared" si="2"/>
        <v>0</v>
      </c>
      <c r="AM38" s="40">
        <f t="shared" si="3"/>
        <v>0</v>
      </c>
      <c r="AN38" s="38">
        <f t="shared" si="5"/>
        <v>0</v>
      </c>
      <c r="AO38" s="38">
        <f t="shared" si="5"/>
        <v>0</v>
      </c>
      <c r="AP38" s="38">
        <f t="shared" si="5"/>
        <v>0</v>
      </c>
      <c r="AQ38" s="38">
        <f t="shared" si="5"/>
        <v>0</v>
      </c>
      <c r="AR38" s="39"/>
      <c r="AS38" s="39"/>
      <c r="AT38" s="29"/>
    </row>
    <row r="39" spans="1:46" s="22" customFormat="1" ht="30" customHeight="1">
      <c r="A39" s="36">
        <v>28</v>
      </c>
      <c r="B39" s="28"/>
      <c r="C39" s="32" t="s">
        <v>206</v>
      </c>
      <c r="D39" s="29" t="s">
        <v>205</v>
      </c>
      <c r="E39" s="56">
        <v>46162</v>
      </c>
      <c r="F39" s="56"/>
      <c r="G39" s="37"/>
      <c r="H39" s="60"/>
      <c r="I39" s="60"/>
      <c r="J39" s="60"/>
      <c r="K39" s="60"/>
      <c r="L39" s="60"/>
      <c r="M39" s="60"/>
      <c r="N39" s="60"/>
      <c r="O39" s="60"/>
      <c r="P39" s="59"/>
      <c r="Q39" s="59"/>
      <c r="R39" s="59"/>
      <c r="S39" s="59"/>
      <c r="T39" s="60"/>
      <c r="U39" s="60"/>
      <c r="V39" s="60"/>
      <c r="W39" s="60"/>
      <c r="X39" s="60"/>
      <c r="Y39" s="60"/>
      <c r="Z39" s="60"/>
      <c r="AA39" s="60"/>
      <c r="AB39" s="61"/>
      <c r="AC39" s="61"/>
      <c r="AD39" s="61"/>
      <c r="AE39" s="61"/>
      <c r="AF39" s="61"/>
      <c r="AG39" s="61"/>
      <c r="AH39" s="61"/>
      <c r="AI39" s="61"/>
      <c r="AJ39" s="40">
        <f t="shared" si="0"/>
        <v>0</v>
      </c>
      <c r="AK39" s="40">
        <f t="shared" si="1"/>
        <v>0</v>
      </c>
      <c r="AL39" s="40">
        <f t="shared" si="2"/>
        <v>0</v>
      </c>
      <c r="AM39" s="40">
        <f t="shared" si="3"/>
        <v>0</v>
      </c>
      <c r="AN39" s="38">
        <f t="shared" si="5"/>
        <v>0</v>
      </c>
      <c r="AO39" s="38">
        <f t="shared" si="5"/>
        <v>0</v>
      </c>
      <c r="AP39" s="38">
        <f t="shared" si="5"/>
        <v>0</v>
      </c>
      <c r="AQ39" s="38">
        <f t="shared" si="5"/>
        <v>0</v>
      </c>
      <c r="AR39" s="39"/>
      <c r="AS39" s="39"/>
      <c r="AT39" s="29"/>
    </row>
    <row r="40" spans="1:46" s="22" customFormat="1" ht="30" customHeight="1">
      <c r="A40" s="36">
        <v>29</v>
      </c>
      <c r="B40" s="28"/>
      <c r="C40" s="32" t="s">
        <v>208</v>
      </c>
      <c r="D40" s="29" t="s">
        <v>207</v>
      </c>
      <c r="E40" s="56">
        <v>46162</v>
      </c>
      <c r="F40" s="56"/>
      <c r="G40" s="37"/>
      <c r="H40" s="60"/>
      <c r="I40" s="60"/>
      <c r="J40" s="60"/>
      <c r="K40" s="60"/>
      <c r="L40" s="60"/>
      <c r="M40" s="60"/>
      <c r="N40" s="60"/>
      <c r="O40" s="60"/>
      <c r="P40" s="59"/>
      <c r="Q40" s="59"/>
      <c r="R40" s="59"/>
      <c r="S40" s="59"/>
      <c r="T40" s="60"/>
      <c r="U40" s="60"/>
      <c r="V40" s="60"/>
      <c r="W40" s="60"/>
      <c r="X40" s="60"/>
      <c r="Y40" s="60"/>
      <c r="Z40" s="60"/>
      <c r="AA40" s="60"/>
      <c r="AB40" s="61"/>
      <c r="AC40" s="61"/>
      <c r="AD40" s="61"/>
      <c r="AE40" s="61"/>
      <c r="AF40" s="61"/>
      <c r="AG40" s="61"/>
      <c r="AH40" s="61"/>
      <c r="AI40" s="61"/>
      <c r="AJ40" s="40">
        <f t="shared" si="0"/>
        <v>0</v>
      </c>
      <c r="AK40" s="40">
        <f t="shared" si="1"/>
        <v>0</v>
      </c>
      <c r="AL40" s="40">
        <f t="shared" si="2"/>
        <v>0</v>
      </c>
      <c r="AM40" s="40">
        <f t="shared" si="3"/>
        <v>0</v>
      </c>
      <c r="AN40" s="38">
        <f t="shared" si="5"/>
        <v>0</v>
      </c>
      <c r="AO40" s="38">
        <f t="shared" si="5"/>
        <v>0</v>
      </c>
      <c r="AP40" s="38">
        <f t="shared" si="5"/>
        <v>0</v>
      </c>
      <c r="AQ40" s="38">
        <f t="shared" si="5"/>
        <v>0</v>
      </c>
      <c r="AR40" s="39"/>
      <c r="AS40" s="39"/>
      <c r="AT40" s="29"/>
    </row>
    <row r="41" spans="1:46" s="22" customFormat="1" ht="30" customHeight="1">
      <c r="A41" s="36">
        <v>30</v>
      </c>
      <c r="B41" s="28"/>
      <c r="C41" s="32" t="s">
        <v>210</v>
      </c>
      <c r="D41" s="29" t="s">
        <v>209</v>
      </c>
      <c r="E41" s="56">
        <v>46162</v>
      </c>
      <c r="F41" s="56"/>
      <c r="G41" s="37"/>
      <c r="H41" s="60"/>
      <c r="I41" s="60"/>
      <c r="J41" s="60"/>
      <c r="K41" s="60"/>
      <c r="L41" s="60"/>
      <c r="M41" s="60"/>
      <c r="N41" s="60"/>
      <c r="O41" s="60"/>
      <c r="P41" s="59"/>
      <c r="Q41" s="59"/>
      <c r="R41" s="59"/>
      <c r="S41" s="59"/>
      <c r="T41" s="60"/>
      <c r="U41" s="60"/>
      <c r="V41" s="60"/>
      <c r="W41" s="60"/>
      <c r="X41" s="60"/>
      <c r="Y41" s="60"/>
      <c r="Z41" s="60"/>
      <c r="AA41" s="60"/>
      <c r="AB41" s="61"/>
      <c r="AC41" s="61"/>
      <c r="AD41" s="61"/>
      <c r="AE41" s="61"/>
      <c r="AF41" s="61"/>
      <c r="AG41" s="61"/>
      <c r="AH41" s="61"/>
      <c r="AI41" s="61"/>
      <c r="AJ41" s="40">
        <f t="shared" si="0"/>
        <v>0</v>
      </c>
      <c r="AK41" s="40">
        <f t="shared" si="1"/>
        <v>0</v>
      </c>
      <c r="AL41" s="40">
        <f t="shared" si="2"/>
        <v>0</v>
      </c>
      <c r="AM41" s="40">
        <f t="shared" si="3"/>
        <v>0</v>
      </c>
      <c r="AN41" s="38">
        <f t="shared" si="5"/>
        <v>0</v>
      </c>
      <c r="AO41" s="38">
        <f t="shared" si="5"/>
        <v>0</v>
      </c>
      <c r="AP41" s="38">
        <f t="shared" si="5"/>
        <v>0</v>
      </c>
      <c r="AQ41" s="38">
        <f t="shared" si="5"/>
        <v>0</v>
      </c>
      <c r="AR41" s="39"/>
      <c r="AS41" s="39"/>
      <c r="AT41" s="29"/>
    </row>
    <row r="42" spans="1:46" s="22" customFormat="1" ht="30" customHeight="1">
      <c r="A42" s="36">
        <v>31</v>
      </c>
      <c r="B42" s="28"/>
      <c r="C42" s="32" t="s">
        <v>212</v>
      </c>
      <c r="D42" s="29" t="s">
        <v>211</v>
      </c>
      <c r="E42" s="56">
        <v>46162</v>
      </c>
      <c r="F42" s="56"/>
      <c r="G42" s="37"/>
      <c r="H42" s="60"/>
      <c r="I42" s="60"/>
      <c r="J42" s="60"/>
      <c r="K42" s="60"/>
      <c r="L42" s="60"/>
      <c r="M42" s="60"/>
      <c r="N42" s="60"/>
      <c r="O42" s="60"/>
      <c r="P42" s="59"/>
      <c r="Q42" s="59"/>
      <c r="R42" s="59"/>
      <c r="S42" s="59"/>
      <c r="T42" s="60"/>
      <c r="U42" s="60"/>
      <c r="V42" s="60"/>
      <c r="W42" s="60"/>
      <c r="X42" s="60"/>
      <c r="Y42" s="60"/>
      <c r="Z42" s="60"/>
      <c r="AA42" s="60"/>
      <c r="AB42" s="61"/>
      <c r="AC42" s="61"/>
      <c r="AD42" s="61"/>
      <c r="AE42" s="61"/>
      <c r="AF42" s="61"/>
      <c r="AG42" s="61"/>
      <c r="AH42" s="61"/>
      <c r="AI42" s="61"/>
      <c r="AJ42" s="40">
        <f t="shared" si="0"/>
        <v>0</v>
      </c>
      <c r="AK42" s="40">
        <f t="shared" si="1"/>
        <v>0</v>
      </c>
      <c r="AL42" s="40">
        <f t="shared" si="2"/>
        <v>0</v>
      </c>
      <c r="AM42" s="40">
        <f t="shared" si="3"/>
        <v>0</v>
      </c>
      <c r="AN42" s="38">
        <f t="shared" si="5"/>
        <v>0</v>
      </c>
      <c r="AO42" s="38">
        <f t="shared" si="5"/>
        <v>0</v>
      </c>
      <c r="AP42" s="38">
        <f t="shared" si="5"/>
        <v>0</v>
      </c>
      <c r="AQ42" s="38">
        <f t="shared" si="5"/>
        <v>0</v>
      </c>
      <c r="AR42" s="39"/>
      <c r="AS42" s="39"/>
      <c r="AT42" s="29"/>
    </row>
    <row r="43" spans="1:46" s="22" customFormat="1" ht="30" customHeight="1">
      <c r="A43" s="36">
        <v>32</v>
      </c>
      <c r="B43" s="28"/>
      <c r="C43" s="32" t="s">
        <v>214</v>
      </c>
      <c r="D43" s="29" t="s">
        <v>213</v>
      </c>
      <c r="E43" s="56">
        <v>46162</v>
      </c>
      <c r="F43" s="56"/>
      <c r="G43" s="37"/>
      <c r="H43" s="60"/>
      <c r="I43" s="60"/>
      <c r="J43" s="60"/>
      <c r="K43" s="60"/>
      <c r="L43" s="60"/>
      <c r="M43" s="60"/>
      <c r="N43" s="60"/>
      <c r="O43" s="60"/>
      <c r="P43" s="59"/>
      <c r="Q43" s="59"/>
      <c r="R43" s="59"/>
      <c r="S43" s="59"/>
      <c r="T43" s="60"/>
      <c r="U43" s="60"/>
      <c r="V43" s="60"/>
      <c r="W43" s="60"/>
      <c r="X43" s="60"/>
      <c r="Y43" s="60"/>
      <c r="Z43" s="60"/>
      <c r="AA43" s="60"/>
      <c r="AB43" s="61"/>
      <c r="AC43" s="61"/>
      <c r="AD43" s="61"/>
      <c r="AE43" s="61"/>
      <c r="AF43" s="61"/>
      <c r="AG43" s="61"/>
      <c r="AH43" s="61"/>
      <c r="AI43" s="61"/>
      <c r="AJ43" s="40">
        <f t="shared" si="0"/>
        <v>0</v>
      </c>
      <c r="AK43" s="40">
        <f t="shared" si="1"/>
        <v>0</v>
      </c>
      <c r="AL43" s="40">
        <f t="shared" si="2"/>
        <v>0</v>
      </c>
      <c r="AM43" s="40">
        <f t="shared" si="3"/>
        <v>0</v>
      </c>
      <c r="AN43" s="38">
        <f t="shared" si="5"/>
        <v>0</v>
      </c>
      <c r="AO43" s="38">
        <f t="shared" si="5"/>
        <v>0</v>
      </c>
      <c r="AP43" s="38">
        <f t="shared" si="5"/>
        <v>0</v>
      </c>
      <c r="AQ43" s="38">
        <f t="shared" si="5"/>
        <v>0</v>
      </c>
      <c r="AR43" s="39"/>
      <c r="AS43" s="39"/>
      <c r="AT43" s="29"/>
    </row>
    <row r="44" spans="1:46" s="22" customFormat="1" ht="30" customHeight="1">
      <c r="A44" s="36"/>
      <c r="B44" s="28"/>
      <c r="C44" s="32" t="s">
        <v>216</v>
      </c>
      <c r="D44" s="29" t="s">
        <v>215</v>
      </c>
      <c r="E44" s="56">
        <v>46162</v>
      </c>
      <c r="F44" s="56"/>
      <c r="G44" s="37"/>
      <c r="H44" s="60"/>
      <c r="I44" s="60"/>
      <c r="J44" s="60"/>
      <c r="K44" s="60"/>
      <c r="L44" s="60"/>
      <c r="M44" s="60"/>
      <c r="N44" s="60"/>
      <c r="O44" s="60"/>
      <c r="P44" s="59"/>
      <c r="Q44" s="59"/>
      <c r="R44" s="59"/>
      <c r="S44" s="59"/>
      <c r="T44" s="60"/>
      <c r="U44" s="60"/>
      <c r="V44" s="60"/>
      <c r="W44" s="60"/>
      <c r="X44" s="60"/>
      <c r="Y44" s="60"/>
      <c r="Z44" s="60"/>
      <c r="AA44" s="60"/>
      <c r="AB44" s="61"/>
      <c r="AC44" s="61"/>
      <c r="AD44" s="61"/>
      <c r="AE44" s="61"/>
      <c r="AF44" s="61"/>
      <c r="AG44" s="61"/>
      <c r="AH44" s="61"/>
      <c r="AI44" s="61"/>
      <c r="AJ44" s="40">
        <f t="shared" ref="AJ44:AJ75" si="6">SUMIF($H$11:$AI$11,$AJ$11,H44:AI44)</f>
        <v>0</v>
      </c>
      <c r="AK44" s="40">
        <f t="shared" ref="AK44:AK75" si="7">SUMIF($H$11:$AI$11,$AK$11,H44:AI44)</f>
        <v>0</v>
      </c>
      <c r="AL44" s="40">
        <f t="shared" ref="AL44:AL75" si="8">SUMIF($H$11:$AI$11,$AL$11,H44:AI44)</f>
        <v>0</v>
      </c>
      <c r="AM44" s="40">
        <f t="shared" ref="AM44:AM75" si="9">SUMIF($H$11:$AI$11,$AM$11,H44:AI44)</f>
        <v>0</v>
      </c>
      <c r="AN44" s="38">
        <f t="shared" si="5"/>
        <v>0</v>
      </c>
      <c r="AO44" s="38">
        <f t="shared" si="5"/>
        <v>0</v>
      </c>
      <c r="AP44" s="38">
        <f t="shared" si="5"/>
        <v>0</v>
      </c>
      <c r="AQ44" s="38">
        <f t="shared" si="5"/>
        <v>0</v>
      </c>
      <c r="AR44" s="39"/>
      <c r="AS44" s="39"/>
      <c r="AT44" s="29"/>
    </row>
    <row r="45" spans="1:46" s="22" customFormat="1" ht="30" customHeight="1">
      <c r="A45" s="36"/>
      <c r="B45" s="28"/>
      <c r="C45" s="32" t="s">
        <v>219</v>
      </c>
      <c r="D45" s="29" t="s">
        <v>218</v>
      </c>
      <c r="E45" s="56">
        <v>46195</v>
      </c>
      <c r="F45" s="56"/>
      <c r="G45" s="37"/>
      <c r="H45" s="60"/>
      <c r="I45" s="60"/>
      <c r="J45" s="60"/>
      <c r="K45" s="60"/>
      <c r="L45" s="60"/>
      <c r="M45" s="60"/>
      <c r="N45" s="60"/>
      <c r="O45" s="60"/>
      <c r="P45" s="59"/>
      <c r="Q45" s="59"/>
      <c r="R45" s="59"/>
      <c r="S45" s="59"/>
      <c r="T45" s="60"/>
      <c r="U45" s="60"/>
      <c r="V45" s="60"/>
      <c r="W45" s="60"/>
      <c r="X45" s="60"/>
      <c r="Y45" s="60"/>
      <c r="Z45" s="60"/>
      <c r="AA45" s="60"/>
      <c r="AB45" s="61"/>
      <c r="AC45" s="61"/>
      <c r="AD45" s="61"/>
      <c r="AE45" s="61"/>
      <c r="AF45" s="61"/>
      <c r="AG45" s="61"/>
      <c r="AH45" s="61"/>
      <c r="AI45" s="61"/>
      <c r="AJ45" s="40">
        <f t="shared" si="6"/>
        <v>0</v>
      </c>
      <c r="AK45" s="40">
        <f t="shared" si="7"/>
        <v>0</v>
      </c>
      <c r="AL45" s="40">
        <f t="shared" si="8"/>
        <v>0</v>
      </c>
      <c r="AM45" s="40">
        <f t="shared" si="9"/>
        <v>0</v>
      </c>
      <c r="AN45" s="38">
        <f t="shared" si="5"/>
        <v>0</v>
      </c>
      <c r="AO45" s="38">
        <f t="shared" si="5"/>
        <v>0</v>
      </c>
      <c r="AP45" s="38">
        <f t="shared" si="5"/>
        <v>0</v>
      </c>
      <c r="AQ45" s="38">
        <f t="shared" si="5"/>
        <v>0</v>
      </c>
      <c r="AR45" s="39"/>
      <c r="AS45" s="39"/>
      <c r="AT45" s="29"/>
    </row>
    <row r="46" spans="1:46" s="22" customFormat="1" ht="30" customHeight="1">
      <c r="A46" s="36"/>
      <c r="B46" s="28"/>
      <c r="C46" s="32" t="s">
        <v>220</v>
      </c>
      <c r="D46" s="29" t="s">
        <v>221</v>
      </c>
      <c r="E46" s="56">
        <v>46167</v>
      </c>
      <c r="F46" s="56"/>
      <c r="G46" s="37"/>
      <c r="H46" s="60"/>
      <c r="I46" s="60"/>
      <c r="J46" s="60"/>
      <c r="K46" s="60"/>
      <c r="L46" s="60"/>
      <c r="M46" s="60"/>
      <c r="N46" s="60"/>
      <c r="O46" s="60"/>
      <c r="P46" s="59"/>
      <c r="Q46" s="59"/>
      <c r="R46" s="59"/>
      <c r="S46" s="59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40">
        <f t="shared" si="6"/>
        <v>0</v>
      </c>
      <c r="AK46" s="40">
        <f t="shared" si="7"/>
        <v>0</v>
      </c>
      <c r="AL46" s="40">
        <f t="shared" si="8"/>
        <v>0</v>
      </c>
      <c r="AM46" s="40">
        <f t="shared" si="9"/>
        <v>0</v>
      </c>
      <c r="AN46" s="38">
        <f t="shared" si="5"/>
        <v>0</v>
      </c>
      <c r="AO46" s="38">
        <f t="shared" si="5"/>
        <v>0</v>
      </c>
      <c r="AP46" s="38">
        <f t="shared" si="5"/>
        <v>0</v>
      </c>
      <c r="AQ46" s="38">
        <f t="shared" si="5"/>
        <v>0</v>
      </c>
      <c r="AR46" s="39"/>
      <c r="AS46" s="39"/>
      <c r="AT46" s="29"/>
    </row>
    <row r="47" spans="1:46" s="22" customFormat="1" ht="30" customHeight="1">
      <c r="A47" s="36"/>
      <c r="B47" s="28"/>
      <c r="C47" s="32" t="s">
        <v>222</v>
      </c>
      <c r="D47" s="29" t="s">
        <v>223</v>
      </c>
      <c r="E47" s="56">
        <v>46167</v>
      </c>
      <c r="F47" s="56"/>
      <c r="G47" s="37"/>
      <c r="H47" s="60"/>
      <c r="I47" s="60"/>
      <c r="J47" s="60"/>
      <c r="K47" s="60"/>
      <c r="L47" s="60"/>
      <c r="M47" s="60"/>
      <c r="N47" s="60"/>
      <c r="O47" s="60"/>
      <c r="P47" s="59"/>
      <c r="Q47" s="59"/>
      <c r="R47" s="59"/>
      <c r="S47" s="59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40">
        <f t="shared" si="6"/>
        <v>0</v>
      </c>
      <c r="AK47" s="40">
        <f t="shared" si="7"/>
        <v>0</v>
      </c>
      <c r="AL47" s="40">
        <f t="shared" si="8"/>
        <v>0</v>
      </c>
      <c r="AM47" s="40">
        <f t="shared" si="9"/>
        <v>0</v>
      </c>
      <c r="AN47" s="38">
        <f t="shared" si="5"/>
        <v>0</v>
      </c>
      <c r="AO47" s="38">
        <f t="shared" si="5"/>
        <v>0</v>
      </c>
      <c r="AP47" s="38">
        <f t="shared" si="5"/>
        <v>0</v>
      </c>
      <c r="AQ47" s="38">
        <f t="shared" si="5"/>
        <v>0</v>
      </c>
      <c r="AR47" s="39"/>
      <c r="AS47" s="39"/>
      <c r="AT47" s="29"/>
    </row>
    <row r="48" spans="1:46" s="22" customFormat="1" ht="30" customHeight="1">
      <c r="A48" s="36"/>
      <c r="B48" s="28"/>
      <c r="C48" s="32" t="s">
        <v>224</v>
      </c>
      <c r="D48" s="29" t="s">
        <v>225</v>
      </c>
      <c r="E48" s="56">
        <v>46167</v>
      </c>
      <c r="F48" s="56"/>
      <c r="G48" s="37"/>
      <c r="H48" s="60"/>
      <c r="I48" s="60"/>
      <c r="J48" s="60"/>
      <c r="K48" s="60"/>
      <c r="L48" s="60"/>
      <c r="M48" s="60"/>
      <c r="N48" s="60"/>
      <c r="O48" s="60"/>
      <c r="P48" s="59"/>
      <c r="Q48" s="59"/>
      <c r="R48" s="59"/>
      <c r="S48" s="59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40">
        <f t="shared" si="6"/>
        <v>0</v>
      </c>
      <c r="AK48" s="40">
        <f t="shared" si="7"/>
        <v>0</v>
      </c>
      <c r="AL48" s="40">
        <f t="shared" si="8"/>
        <v>0</v>
      </c>
      <c r="AM48" s="40">
        <f t="shared" si="9"/>
        <v>0</v>
      </c>
      <c r="AN48" s="38">
        <f t="shared" si="5"/>
        <v>0</v>
      </c>
      <c r="AO48" s="38">
        <f t="shared" si="5"/>
        <v>0</v>
      </c>
      <c r="AP48" s="38">
        <f t="shared" si="5"/>
        <v>0</v>
      </c>
      <c r="AQ48" s="38">
        <f t="shared" si="5"/>
        <v>0</v>
      </c>
      <c r="AR48" s="39"/>
      <c r="AS48" s="39"/>
      <c r="AT48" s="29"/>
    </row>
    <row r="49" spans="1:46" s="22" customFormat="1" ht="30" customHeight="1">
      <c r="A49" s="36"/>
      <c r="B49" s="28"/>
      <c r="C49" s="32" t="s">
        <v>226</v>
      </c>
      <c r="D49" s="29" t="s">
        <v>227</v>
      </c>
      <c r="E49" s="56">
        <v>46167</v>
      </c>
      <c r="F49" s="56"/>
      <c r="G49" s="37"/>
      <c r="H49" s="60"/>
      <c r="I49" s="60"/>
      <c r="J49" s="60"/>
      <c r="K49" s="60"/>
      <c r="L49" s="60"/>
      <c r="M49" s="60"/>
      <c r="N49" s="60"/>
      <c r="O49" s="60"/>
      <c r="P49" s="59"/>
      <c r="Q49" s="59"/>
      <c r="R49" s="59"/>
      <c r="S49" s="59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40">
        <f t="shared" si="6"/>
        <v>0</v>
      </c>
      <c r="AK49" s="40">
        <f t="shared" si="7"/>
        <v>0</v>
      </c>
      <c r="AL49" s="40">
        <f t="shared" si="8"/>
        <v>0</v>
      </c>
      <c r="AM49" s="40">
        <f t="shared" si="9"/>
        <v>0</v>
      </c>
      <c r="AN49" s="38">
        <f t="shared" si="5"/>
        <v>0</v>
      </c>
      <c r="AO49" s="38">
        <f t="shared" si="5"/>
        <v>0</v>
      </c>
      <c r="AP49" s="38">
        <f t="shared" si="5"/>
        <v>0</v>
      </c>
      <c r="AQ49" s="38">
        <f t="shared" si="5"/>
        <v>0</v>
      </c>
      <c r="AR49" s="39"/>
      <c r="AS49" s="39"/>
      <c r="AT49" s="29"/>
    </row>
    <row r="50" spans="1:46" s="22" customFormat="1" ht="30" customHeight="1">
      <c r="A50" s="36"/>
      <c r="B50" s="28"/>
      <c r="C50" s="32" t="s">
        <v>228</v>
      </c>
      <c r="D50" s="29" t="s">
        <v>229</v>
      </c>
      <c r="E50" s="56">
        <v>46167</v>
      </c>
      <c r="F50" s="56"/>
      <c r="G50" s="37"/>
      <c r="H50" s="60"/>
      <c r="I50" s="60"/>
      <c r="J50" s="60"/>
      <c r="K50" s="60"/>
      <c r="L50" s="60"/>
      <c r="M50" s="60"/>
      <c r="N50" s="60"/>
      <c r="O50" s="60"/>
      <c r="P50" s="59"/>
      <c r="Q50" s="59"/>
      <c r="R50" s="59"/>
      <c r="S50" s="59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40">
        <f t="shared" si="6"/>
        <v>0</v>
      </c>
      <c r="AK50" s="40">
        <f t="shared" si="7"/>
        <v>0</v>
      </c>
      <c r="AL50" s="40">
        <f t="shared" si="8"/>
        <v>0</v>
      </c>
      <c r="AM50" s="40">
        <f t="shared" si="9"/>
        <v>0</v>
      </c>
      <c r="AN50" s="38">
        <f t="shared" si="5"/>
        <v>0</v>
      </c>
      <c r="AO50" s="38">
        <f t="shared" si="5"/>
        <v>0</v>
      </c>
      <c r="AP50" s="38">
        <f t="shared" si="5"/>
        <v>0</v>
      </c>
      <c r="AQ50" s="38">
        <f t="shared" si="5"/>
        <v>0</v>
      </c>
      <c r="AR50" s="39"/>
      <c r="AS50" s="39"/>
      <c r="AT50" s="29"/>
    </row>
    <row r="51" spans="1:46" s="22" customFormat="1" ht="30" customHeight="1">
      <c r="A51" s="36"/>
      <c r="B51" s="28"/>
      <c r="C51" s="32" t="s">
        <v>230</v>
      </c>
      <c r="D51" s="29" t="s">
        <v>231</v>
      </c>
      <c r="E51" s="56">
        <v>46167</v>
      </c>
      <c r="F51" s="56"/>
      <c r="G51" s="37"/>
      <c r="H51" s="60"/>
      <c r="I51" s="60"/>
      <c r="J51" s="60"/>
      <c r="K51" s="60"/>
      <c r="L51" s="60"/>
      <c r="M51" s="60"/>
      <c r="N51" s="60"/>
      <c r="O51" s="60"/>
      <c r="P51" s="59"/>
      <c r="Q51" s="59"/>
      <c r="R51" s="59"/>
      <c r="S51" s="59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40">
        <f t="shared" si="6"/>
        <v>0</v>
      </c>
      <c r="AK51" s="40">
        <f t="shared" si="7"/>
        <v>0</v>
      </c>
      <c r="AL51" s="40">
        <f t="shared" si="8"/>
        <v>0</v>
      </c>
      <c r="AM51" s="40">
        <f t="shared" si="9"/>
        <v>0</v>
      </c>
      <c r="AN51" s="38">
        <f t="shared" si="5"/>
        <v>0</v>
      </c>
      <c r="AO51" s="38">
        <f t="shared" si="5"/>
        <v>0</v>
      </c>
      <c r="AP51" s="38">
        <f t="shared" si="5"/>
        <v>0</v>
      </c>
      <c r="AQ51" s="38">
        <f t="shared" si="5"/>
        <v>0</v>
      </c>
      <c r="AR51" s="39"/>
      <c r="AS51" s="39"/>
      <c r="AT51" s="29"/>
    </row>
    <row r="52" spans="1:46" s="22" customFormat="1" ht="30" customHeight="1">
      <c r="A52" s="36"/>
      <c r="B52" s="28"/>
      <c r="C52" s="32" t="s">
        <v>232</v>
      </c>
      <c r="D52" s="29" t="s">
        <v>233</v>
      </c>
      <c r="E52" s="56">
        <v>46167</v>
      </c>
      <c r="F52" s="56"/>
      <c r="G52" s="37"/>
      <c r="H52" s="60"/>
      <c r="I52" s="60"/>
      <c r="J52" s="60"/>
      <c r="K52" s="60"/>
      <c r="L52" s="60"/>
      <c r="M52" s="60"/>
      <c r="N52" s="60"/>
      <c r="O52" s="60"/>
      <c r="P52" s="59"/>
      <c r="Q52" s="59"/>
      <c r="R52" s="59"/>
      <c r="S52" s="59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40">
        <f t="shared" si="6"/>
        <v>0</v>
      </c>
      <c r="AK52" s="40">
        <f t="shared" si="7"/>
        <v>0</v>
      </c>
      <c r="AL52" s="40">
        <f t="shared" si="8"/>
        <v>0</v>
      </c>
      <c r="AM52" s="40">
        <f t="shared" si="9"/>
        <v>0</v>
      </c>
      <c r="AN52" s="38">
        <f t="shared" ref="AN52:AQ71" si="10">SUMIF($H$11:$AI$11,AN$11,$H52:$AI52)</f>
        <v>0</v>
      </c>
      <c r="AO52" s="38">
        <f t="shared" si="10"/>
        <v>0</v>
      </c>
      <c r="AP52" s="38">
        <f t="shared" si="10"/>
        <v>0</v>
      </c>
      <c r="AQ52" s="38">
        <f t="shared" si="10"/>
        <v>0</v>
      </c>
      <c r="AR52" s="39"/>
      <c r="AS52" s="39"/>
      <c r="AT52" s="29"/>
    </row>
    <row r="53" spans="1:46" s="22" customFormat="1" ht="30" customHeight="1">
      <c r="A53" s="36"/>
      <c r="B53" s="28"/>
      <c r="C53" s="32" t="s">
        <v>234</v>
      </c>
      <c r="D53" s="29" t="s">
        <v>235</v>
      </c>
      <c r="E53" s="56">
        <v>46167</v>
      </c>
      <c r="F53" s="56"/>
      <c r="G53" s="37"/>
      <c r="H53" s="60"/>
      <c r="I53" s="60"/>
      <c r="J53" s="60"/>
      <c r="K53" s="60"/>
      <c r="L53" s="60"/>
      <c r="M53" s="60"/>
      <c r="N53" s="60"/>
      <c r="O53" s="60"/>
      <c r="P53" s="59"/>
      <c r="Q53" s="59"/>
      <c r="R53" s="59"/>
      <c r="S53" s="59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40">
        <f t="shared" si="6"/>
        <v>0</v>
      </c>
      <c r="AK53" s="40">
        <f t="shared" si="7"/>
        <v>0</v>
      </c>
      <c r="AL53" s="40">
        <f t="shared" si="8"/>
        <v>0</v>
      </c>
      <c r="AM53" s="40">
        <f t="shared" si="9"/>
        <v>0</v>
      </c>
      <c r="AN53" s="38">
        <f t="shared" si="10"/>
        <v>0</v>
      </c>
      <c r="AO53" s="38">
        <f t="shared" si="10"/>
        <v>0</v>
      </c>
      <c r="AP53" s="38">
        <f t="shared" si="10"/>
        <v>0</v>
      </c>
      <c r="AQ53" s="38">
        <f t="shared" si="10"/>
        <v>0</v>
      </c>
      <c r="AR53" s="39"/>
      <c r="AS53" s="39"/>
      <c r="AT53" s="29"/>
    </row>
    <row r="54" spans="1:46" s="22" customFormat="1" ht="30" customHeight="1">
      <c r="A54" s="36"/>
      <c r="B54" s="28"/>
      <c r="C54" s="32" t="s">
        <v>236</v>
      </c>
      <c r="D54" s="29" t="s">
        <v>237</v>
      </c>
      <c r="E54" s="56">
        <v>46167</v>
      </c>
      <c r="F54" s="56"/>
      <c r="G54" s="37"/>
      <c r="H54" s="60"/>
      <c r="I54" s="60"/>
      <c r="J54" s="60"/>
      <c r="K54" s="60"/>
      <c r="L54" s="60"/>
      <c r="M54" s="60"/>
      <c r="N54" s="60"/>
      <c r="O54" s="60"/>
      <c r="P54" s="59"/>
      <c r="Q54" s="59"/>
      <c r="R54" s="59"/>
      <c r="S54" s="59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40">
        <f t="shared" si="6"/>
        <v>0</v>
      </c>
      <c r="AK54" s="40">
        <f t="shared" si="7"/>
        <v>0</v>
      </c>
      <c r="AL54" s="40">
        <f t="shared" si="8"/>
        <v>0</v>
      </c>
      <c r="AM54" s="40">
        <f t="shared" si="9"/>
        <v>0</v>
      </c>
      <c r="AN54" s="38">
        <f t="shared" si="10"/>
        <v>0</v>
      </c>
      <c r="AO54" s="38">
        <f t="shared" si="10"/>
        <v>0</v>
      </c>
      <c r="AP54" s="38">
        <f t="shared" si="10"/>
        <v>0</v>
      </c>
      <c r="AQ54" s="38">
        <f t="shared" si="10"/>
        <v>0</v>
      </c>
      <c r="AR54" s="39"/>
      <c r="AS54" s="39"/>
      <c r="AT54" s="29"/>
    </row>
    <row r="55" spans="1:46" s="22" customFormat="1" ht="30" customHeight="1">
      <c r="A55" s="36"/>
      <c r="B55" s="28"/>
      <c r="C55" s="32" t="s">
        <v>238</v>
      </c>
      <c r="D55" s="29" t="s">
        <v>239</v>
      </c>
      <c r="E55" s="56">
        <v>46167</v>
      </c>
      <c r="F55" s="56"/>
      <c r="G55" s="37"/>
      <c r="H55" s="60"/>
      <c r="I55" s="60"/>
      <c r="J55" s="60"/>
      <c r="K55" s="60"/>
      <c r="L55" s="60"/>
      <c r="M55" s="60"/>
      <c r="N55" s="60"/>
      <c r="O55" s="60"/>
      <c r="P55" s="59"/>
      <c r="Q55" s="59"/>
      <c r="R55" s="59"/>
      <c r="S55" s="59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40">
        <f t="shared" si="6"/>
        <v>0</v>
      </c>
      <c r="AK55" s="40">
        <f t="shared" si="7"/>
        <v>0</v>
      </c>
      <c r="AL55" s="40">
        <f t="shared" si="8"/>
        <v>0</v>
      </c>
      <c r="AM55" s="40">
        <f t="shared" si="9"/>
        <v>0</v>
      </c>
      <c r="AN55" s="38">
        <f t="shared" si="10"/>
        <v>0</v>
      </c>
      <c r="AO55" s="38">
        <f t="shared" si="10"/>
        <v>0</v>
      </c>
      <c r="AP55" s="38">
        <f t="shared" si="10"/>
        <v>0</v>
      </c>
      <c r="AQ55" s="38">
        <f t="shared" si="10"/>
        <v>0</v>
      </c>
      <c r="AR55" s="39"/>
      <c r="AS55" s="39"/>
      <c r="AT55" s="29"/>
    </row>
    <row r="56" spans="1:46" s="22" customFormat="1" ht="30" customHeight="1">
      <c r="A56" s="36"/>
      <c r="B56" s="28"/>
      <c r="C56" s="32" t="s">
        <v>240</v>
      </c>
      <c r="D56" s="29" t="s">
        <v>241</v>
      </c>
      <c r="E56" s="56">
        <v>46167</v>
      </c>
      <c r="F56" s="56"/>
      <c r="G56" s="37"/>
      <c r="H56" s="60"/>
      <c r="I56" s="60"/>
      <c r="J56" s="60"/>
      <c r="K56" s="60"/>
      <c r="L56" s="60"/>
      <c r="M56" s="60"/>
      <c r="N56" s="60"/>
      <c r="O56" s="60"/>
      <c r="P56" s="59"/>
      <c r="Q56" s="59"/>
      <c r="R56" s="59"/>
      <c r="S56" s="59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40">
        <f t="shared" si="6"/>
        <v>0</v>
      </c>
      <c r="AK56" s="40">
        <f t="shared" si="7"/>
        <v>0</v>
      </c>
      <c r="AL56" s="40">
        <f t="shared" si="8"/>
        <v>0</v>
      </c>
      <c r="AM56" s="40">
        <f t="shared" si="9"/>
        <v>0</v>
      </c>
      <c r="AN56" s="38">
        <f t="shared" si="10"/>
        <v>0</v>
      </c>
      <c r="AO56" s="38">
        <f t="shared" si="10"/>
        <v>0</v>
      </c>
      <c r="AP56" s="38">
        <f t="shared" si="10"/>
        <v>0</v>
      </c>
      <c r="AQ56" s="38">
        <f t="shared" si="10"/>
        <v>0</v>
      </c>
      <c r="AR56" s="39"/>
      <c r="AS56" s="39"/>
      <c r="AT56" s="29"/>
    </row>
    <row r="57" spans="1:46" s="22" customFormat="1" ht="30" customHeight="1">
      <c r="A57" s="36"/>
      <c r="B57" s="28"/>
      <c r="C57" s="32" t="s">
        <v>242</v>
      </c>
      <c r="D57" s="29" t="s">
        <v>243</v>
      </c>
      <c r="E57" s="56">
        <v>46167</v>
      </c>
      <c r="F57" s="56"/>
      <c r="G57" s="37"/>
      <c r="H57" s="60"/>
      <c r="I57" s="60"/>
      <c r="J57" s="60"/>
      <c r="K57" s="60"/>
      <c r="L57" s="60"/>
      <c r="M57" s="60"/>
      <c r="N57" s="60"/>
      <c r="O57" s="60"/>
      <c r="P57" s="59"/>
      <c r="Q57" s="59"/>
      <c r="R57" s="59"/>
      <c r="S57" s="59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40">
        <f t="shared" si="6"/>
        <v>0</v>
      </c>
      <c r="AK57" s="40">
        <f t="shared" si="7"/>
        <v>0</v>
      </c>
      <c r="AL57" s="40">
        <f t="shared" si="8"/>
        <v>0</v>
      </c>
      <c r="AM57" s="40">
        <f t="shared" si="9"/>
        <v>0</v>
      </c>
      <c r="AN57" s="38">
        <f t="shared" si="10"/>
        <v>0</v>
      </c>
      <c r="AO57" s="38">
        <f t="shared" si="10"/>
        <v>0</v>
      </c>
      <c r="AP57" s="38">
        <f t="shared" si="10"/>
        <v>0</v>
      </c>
      <c r="AQ57" s="38">
        <f t="shared" si="10"/>
        <v>0</v>
      </c>
      <c r="AR57" s="39"/>
      <c r="AS57" s="39"/>
      <c r="AT57" s="29"/>
    </row>
    <row r="58" spans="1:46" s="22" customFormat="1" ht="30" customHeight="1">
      <c r="A58" s="36"/>
      <c r="B58" s="28"/>
      <c r="C58" s="32" t="s">
        <v>244</v>
      </c>
      <c r="D58" s="29" t="s">
        <v>245</v>
      </c>
      <c r="E58" s="56">
        <v>46167</v>
      </c>
      <c r="F58" s="56"/>
      <c r="G58" s="37"/>
      <c r="H58" s="60"/>
      <c r="I58" s="60"/>
      <c r="J58" s="60"/>
      <c r="K58" s="60"/>
      <c r="L58" s="60"/>
      <c r="M58" s="60"/>
      <c r="N58" s="60"/>
      <c r="O58" s="60"/>
      <c r="P58" s="59"/>
      <c r="Q58" s="59"/>
      <c r="R58" s="59"/>
      <c r="S58" s="59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40">
        <f t="shared" si="6"/>
        <v>0</v>
      </c>
      <c r="AK58" s="40">
        <f t="shared" si="7"/>
        <v>0</v>
      </c>
      <c r="AL58" s="40">
        <f t="shared" si="8"/>
        <v>0</v>
      </c>
      <c r="AM58" s="40">
        <f t="shared" si="9"/>
        <v>0</v>
      </c>
      <c r="AN58" s="38">
        <f t="shared" si="10"/>
        <v>0</v>
      </c>
      <c r="AO58" s="38">
        <f t="shared" si="10"/>
        <v>0</v>
      </c>
      <c r="AP58" s="38">
        <f t="shared" si="10"/>
        <v>0</v>
      </c>
      <c r="AQ58" s="38">
        <f t="shared" si="10"/>
        <v>0</v>
      </c>
      <c r="AR58" s="39"/>
      <c r="AS58" s="39"/>
      <c r="AT58" s="29"/>
    </row>
    <row r="59" spans="1:46" s="22" customFormat="1" ht="30" customHeight="1">
      <c r="A59" s="36"/>
      <c r="B59" s="28"/>
      <c r="C59" s="32" t="s">
        <v>246</v>
      </c>
      <c r="D59" s="29" t="s">
        <v>247</v>
      </c>
      <c r="E59" s="56">
        <v>46167</v>
      </c>
      <c r="F59" s="56"/>
      <c r="G59" s="37"/>
      <c r="H59" s="60"/>
      <c r="I59" s="60"/>
      <c r="J59" s="60"/>
      <c r="K59" s="60"/>
      <c r="L59" s="60"/>
      <c r="M59" s="60"/>
      <c r="N59" s="60"/>
      <c r="O59" s="60"/>
      <c r="P59" s="59"/>
      <c r="Q59" s="59"/>
      <c r="R59" s="59"/>
      <c r="S59" s="59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40">
        <f t="shared" si="6"/>
        <v>0</v>
      </c>
      <c r="AK59" s="40">
        <f t="shared" si="7"/>
        <v>0</v>
      </c>
      <c r="AL59" s="40">
        <f t="shared" si="8"/>
        <v>0</v>
      </c>
      <c r="AM59" s="40">
        <f t="shared" si="9"/>
        <v>0</v>
      </c>
      <c r="AN59" s="38">
        <f t="shared" si="10"/>
        <v>0</v>
      </c>
      <c r="AO59" s="38">
        <f t="shared" si="10"/>
        <v>0</v>
      </c>
      <c r="AP59" s="38">
        <f t="shared" si="10"/>
        <v>0</v>
      </c>
      <c r="AQ59" s="38">
        <f t="shared" si="10"/>
        <v>0</v>
      </c>
      <c r="AR59" s="39"/>
      <c r="AS59" s="39"/>
      <c r="AT59" s="29"/>
    </row>
    <row r="60" spans="1:46" s="22" customFormat="1" ht="30" customHeight="1">
      <c r="A60" s="36"/>
      <c r="B60" s="28"/>
      <c r="C60" s="32" t="s">
        <v>248</v>
      </c>
      <c r="D60" s="29" t="s">
        <v>249</v>
      </c>
      <c r="E60" s="56">
        <v>46167</v>
      </c>
      <c r="F60" s="56"/>
      <c r="G60" s="37"/>
      <c r="H60" s="60"/>
      <c r="I60" s="60"/>
      <c r="J60" s="60"/>
      <c r="K60" s="60"/>
      <c r="L60" s="60"/>
      <c r="M60" s="60"/>
      <c r="N60" s="60"/>
      <c r="O60" s="60"/>
      <c r="P60" s="59"/>
      <c r="Q60" s="59"/>
      <c r="R60" s="59"/>
      <c r="S60" s="59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40">
        <f t="shared" si="6"/>
        <v>0</v>
      </c>
      <c r="AK60" s="40">
        <f t="shared" si="7"/>
        <v>0</v>
      </c>
      <c r="AL60" s="40">
        <f t="shared" si="8"/>
        <v>0</v>
      </c>
      <c r="AM60" s="40">
        <f t="shared" si="9"/>
        <v>0</v>
      </c>
      <c r="AN60" s="38">
        <f t="shared" si="10"/>
        <v>0</v>
      </c>
      <c r="AO60" s="38">
        <f t="shared" si="10"/>
        <v>0</v>
      </c>
      <c r="AP60" s="38">
        <f t="shared" si="10"/>
        <v>0</v>
      </c>
      <c r="AQ60" s="38">
        <f t="shared" si="10"/>
        <v>0</v>
      </c>
      <c r="AR60" s="39"/>
      <c r="AS60" s="39"/>
      <c r="AT60" s="29"/>
    </row>
    <row r="61" spans="1:46" s="22" customFormat="1" ht="30" customHeight="1">
      <c r="A61" s="36"/>
      <c r="B61" s="28"/>
      <c r="C61" s="32" t="s">
        <v>250</v>
      </c>
      <c r="D61" s="29" t="s">
        <v>251</v>
      </c>
      <c r="E61" s="56">
        <v>46167</v>
      </c>
      <c r="F61" s="56"/>
      <c r="G61" s="37"/>
      <c r="H61" s="60"/>
      <c r="I61" s="60"/>
      <c r="J61" s="60"/>
      <c r="K61" s="60"/>
      <c r="L61" s="60"/>
      <c r="M61" s="60"/>
      <c r="N61" s="60"/>
      <c r="O61" s="60"/>
      <c r="P61" s="59"/>
      <c r="Q61" s="59"/>
      <c r="R61" s="59"/>
      <c r="S61" s="59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40">
        <f t="shared" si="6"/>
        <v>0</v>
      </c>
      <c r="AK61" s="40">
        <f t="shared" si="7"/>
        <v>0</v>
      </c>
      <c r="AL61" s="40">
        <f t="shared" si="8"/>
        <v>0</v>
      </c>
      <c r="AM61" s="40">
        <f t="shared" si="9"/>
        <v>0</v>
      </c>
      <c r="AN61" s="38">
        <f t="shared" si="10"/>
        <v>0</v>
      </c>
      <c r="AO61" s="38">
        <f t="shared" si="10"/>
        <v>0</v>
      </c>
      <c r="AP61" s="38">
        <f t="shared" si="10"/>
        <v>0</v>
      </c>
      <c r="AQ61" s="38">
        <f t="shared" si="10"/>
        <v>0</v>
      </c>
      <c r="AR61" s="39"/>
      <c r="AS61" s="39"/>
      <c r="AT61" s="29"/>
    </row>
    <row r="62" spans="1:46" s="22" customFormat="1" ht="30" customHeight="1">
      <c r="A62" s="36"/>
      <c r="B62" s="28"/>
      <c r="C62" s="32" t="s">
        <v>252</v>
      </c>
      <c r="D62" s="29" t="s">
        <v>253</v>
      </c>
      <c r="E62" s="56">
        <v>46167</v>
      </c>
      <c r="F62" s="56"/>
      <c r="G62" s="37"/>
      <c r="H62" s="60"/>
      <c r="I62" s="60"/>
      <c r="J62" s="60"/>
      <c r="K62" s="60"/>
      <c r="L62" s="60"/>
      <c r="M62" s="60"/>
      <c r="N62" s="60"/>
      <c r="O62" s="60"/>
      <c r="P62" s="59"/>
      <c r="Q62" s="59"/>
      <c r="R62" s="59"/>
      <c r="S62" s="59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40">
        <f t="shared" si="6"/>
        <v>0</v>
      </c>
      <c r="AK62" s="40">
        <f t="shared" si="7"/>
        <v>0</v>
      </c>
      <c r="AL62" s="40">
        <f t="shared" si="8"/>
        <v>0</v>
      </c>
      <c r="AM62" s="40">
        <f t="shared" si="9"/>
        <v>0</v>
      </c>
      <c r="AN62" s="38">
        <f t="shared" si="10"/>
        <v>0</v>
      </c>
      <c r="AO62" s="38">
        <f t="shared" si="10"/>
        <v>0</v>
      </c>
      <c r="AP62" s="38">
        <f t="shared" si="10"/>
        <v>0</v>
      </c>
      <c r="AQ62" s="38">
        <f t="shared" si="10"/>
        <v>0</v>
      </c>
      <c r="AR62" s="39"/>
      <c r="AS62" s="39"/>
      <c r="AT62" s="29"/>
    </row>
    <row r="63" spans="1:46" s="22" customFormat="1" ht="30" customHeight="1">
      <c r="A63" s="36"/>
      <c r="B63" s="28"/>
      <c r="C63" s="32" t="s">
        <v>254</v>
      </c>
      <c r="D63" s="29" t="s">
        <v>255</v>
      </c>
      <c r="E63" s="56">
        <v>46169</v>
      </c>
      <c r="F63" s="56"/>
      <c r="G63" s="37"/>
      <c r="H63" s="60"/>
      <c r="I63" s="60"/>
      <c r="J63" s="60"/>
      <c r="K63" s="60"/>
      <c r="L63" s="60"/>
      <c r="M63" s="60"/>
      <c r="N63" s="60"/>
      <c r="O63" s="60"/>
      <c r="P63" s="59"/>
      <c r="Q63" s="59"/>
      <c r="R63" s="59"/>
      <c r="S63" s="59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40">
        <f t="shared" si="6"/>
        <v>0</v>
      </c>
      <c r="AK63" s="40">
        <f t="shared" si="7"/>
        <v>0</v>
      </c>
      <c r="AL63" s="40">
        <f t="shared" si="8"/>
        <v>0</v>
      </c>
      <c r="AM63" s="40">
        <f t="shared" si="9"/>
        <v>0</v>
      </c>
      <c r="AN63" s="38">
        <f t="shared" si="10"/>
        <v>0</v>
      </c>
      <c r="AO63" s="38">
        <f t="shared" si="10"/>
        <v>0</v>
      </c>
      <c r="AP63" s="38">
        <f t="shared" si="10"/>
        <v>0</v>
      </c>
      <c r="AQ63" s="38">
        <f t="shared" si="10"/>
        <v>0</v>
      </c>
      <c r="AR63" s="39"/>
      <c r="AS63" s="39"/>
      <c r="AT63" s="29"/>
    </row>
    <row r="64" spans="1:46" s="22" customFormat="1" ht="30" customHeight="1">
      <c r="A64" s="36"/>
      <c r="B64" s="28"/>
      <c r="C64" s="32" t="s">
        <v>256</v>
      </c>
      <c r="D64" s="29" t="s">
        <v>257</v>
      </c>
      <c r="E64" s="56">
        <v>46169</v>
      </c>
      <c r="F64" s="56"/>
      <c r="G64" s="37"/>
      <c r="H64" s="60"/>
      <c r="I64" s="60"/>
      <c r="J64" s="60"/>
      <c r="K64" s="60"/>
      <c r="L64" s="60"/>
      <c r="M64" s="60"/>
      <c r="N64" s="60"/>
      <c r="O64" s="60"/>
      <c r="P64" s="59"/>
      <c r="Q64" s="59"/>
      <c r="R64" s="59"/>
      <c r="S64" s="59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40">
        <f t="shared" si="6"/>
        <v>0</v>
      </c>
      <c r="AK64" s="40">
        <f t="shared" si="7"/>
        <v>0</v>
      </c>
      <c r="AL64" s="40">
        <f t="shared" si="8"/>
        <v>0</v>
      </c>
      <c r="AM64" s="40">
        <f t="shared" si="9"/>
        <v>0</v>
      </c>
      <c r="AN64" s="38">
        <f t="shared" si="10"/>
        <v>0</v>
      </c>
      <c r="AO64" s="38">
        <f t="shared" si="10"/>
        <v>0</v>
      </c>
      <c r="AP64" s="38">
        <f t="shared" si="10"/>
        <v>0</v>
      </c>
      <c r="AQ64" s="38">
        <f t="shared" si="10"/>
        <v>0</v>
      </c>
      <c r="AR64" s="39"/>
      <c r="AS64" s="39"/>
      <c r="AT64" s="29"/>
    </row>
    <row r="65" spans="1:46" s="22" customFormat="1" ht="30" customHeight="1">
      <c r="A65" s="36"/>
      <c r="B65" s="28"/>
      <c r="C65" s="32" t="s">
        <v>258</v>
      </c>
      <c r="D65" s="29" t="s">
        <v>259</v>
      </c>
      <c r="E65" s="56">
        <v>46169</v>
      </c>
      <c r="F65" s="56"/>
      <c r="G65" s="37"/>
      <c r="H65" s="60"/>
      <c r="I65" s="60"/>
      <c r="J65" s="60"/>
      <c r="K65" s="60"/>
      <c r="L65" s="60"/>
      <c r="M65" s="60"/>
      <c r="N65" s="60"/>
      <c r="O65" s="60"/>
      <c r="P65" s="59"/>
      <c r="Q65" s="59"/>
      <c r="R65" s="59"/>
      <c r="S65" s="59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40">
        <f t="shared" si="6"/>
        <v>0</v>
      </c>
      <c r="AK65" s="40">
        <f t="shared" si="7"/>
        <v>0</v>
      </c>
      <c r="AL65" s="40">
        <f t="shared" si="8"/>
        <v>0</v>
      </c>
      <c r="AM65" s="40">
        <f t="shared" si="9"/>
        <v>0</v>
      </c>
      <c r="AN65" s="38">
        <f t="shared" si="10"/>
        <v>0</v>
      </c>
      <c r="AO65" s="38">
        <f t="shared" si="10"/>
        <v>0</v>
      </c>
      <c r="AP65" s="38">
        <f t="shared" si="10"/>
        <v>0</v>
      </c>
      <c r="AQ65" s="38">
        <f t="shared" si="10"/>
        <v>0</v>
      </c>
      <c r="AR65" s="39"/>
      <c r="AS65" s="39"/>
      <c r="AT65" s="29"/>
    </row>
    <row r="66" spans="1:46" s="22" customFormat="1" ht="30" customHeight="1">
      <c r="A66" s="36"/>
      <c r="B66" s="28"/>
      <c r="C66" s="32" t="s">
        <v>260</v>
      </c>
      <c r="D66" s="29" t="s">
        <v>261</v>
      </c>
      <c r="E66" s="56">
        <v>46169</v>
      </c>
      <c r="F66" s="56"/>
      <c r="G66" s="37"/>
      <c r="H66" s="60"/>
      <c r="I66" s="60"/>
      <c r="J66" s="60"/>
      <c r="K66" s="60"/>
      <c r="L66" s="60"/>
      <c r="M66" s="60"/>
      <c r="N66" s="60"/>
      <c r="O66" s="60"/>
      <c r="P66" s="59"/>
      <c r="Q66" s="59"/>
      <c r="R66" s="59"/>
      <c r="S66" s="59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40">
        <f t="shared" si="6"/>
        <v>0</v>
      </c>
      <c r="AK66" s="40">
        <f t="shared" si="7"/>
        <v>0</v>
      </c>
      <c r="AL66" s="40">
        <f t="shared" si="8"/>
        <v>0</v>
      </c>
      <c r="AM66" s="40">
        <f t="shared" si="9"/>
        <v>0</v>
      </c>
      <c r="AN66" s="38">
        <f t="shared" si="10"/>
        <v>0</v>
      </c>
      <c r="AO66" s="38">
        <f t="shared" si="10"/>
        <v>0</v>
      </c>
      <c r="AP66" s="38">
        <f t="shared" si="10"/>
        <v>0</v>
      </c>
      <c r="AQ66" s="38">
        <f t="shared" si="10"/>
        <v>0</v>
      </c>
      <c r="AR66" s="39"/>
      <c r="AS66" s="39"/>
      <c r="AT66" s="29"/>
    </row>
    <row r="67" spans="1:46" s="22" customFormat="1" ht="30" customHeight="1">
      <c r="A67" s="36"/>
      <c r="B67" s="28"/>
      <c r="C67" s="32" t="s">
        <v>262</v>
      </c>
      <c r="D67" s="29" t="s">
        <v>263</v>
      </c>
      <c r="E67" s="56">
        <v>46169</v>
      </c>
      <c r="F67" s="56"/>
      <c r="G67" s="37"/>
      <c r="H67" s="60"/>
      <c r="I67" s="60"/>
      <c r="J67" s="60"/>
      <c r="K67" s="60"/>
      <c r="L67" s="60"/>
      <c r="M67" s="60"/>
      <c r="N67" s="60"/>
      <c r="O67" s="60"/>
      <c r="P67" s="59"/>
      <c r="Q67" s="59"/>
      <c r="R67" s="59"/>
      <c r="S67" s="59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40">
        <f t="shared" si="6"/>
        <v>0</v>
      </c>
      <c r="AK67" s="40">
        <f t="shared" si="7"/>
        <v>0</v>
      </c>
      <c r="AL67" s="40">
        <f t="shared" si="8"/>
        <v>0</v>
      </c>
      <c r="AM67" s="40">
        <f t="shared" si="9"/>
        <v>0</v>
      </c>
      <c r="AN67" s="38">
        <f t="shared" si="10"/>
        <v>0</v>
      </c>
      <c r="AO67" s="38">
        <f t="shared" si="10"/>
        <v>0</v>
      </c>
      <c r="AP67" s="38">
        <f t="shared" si="10"/>
        <v>0</v>
      </c>
      <c r="AQ67" s="38">
        <f t="shared" si="10"/>
        <v>0</v>
      </c>
      <c r="AR67" s="39"/>
      <c r="AS67" s="39"/>
      <c r="AT67" s="29"/>
    </row>
    <row r="68" spans="1:46" s="22" customFormat="1" ht="30" customHeight="1">
      <c r="A68" s="36"/>
      <c r="B68" s="28"/>
      <c r="C68" s="32" t="s">
        <v>264</v>
      </c>
      <c r="D68" s="29" t="s">
        <v>265</v>
      </c>
      <c r="E68" s="56">
        <v>46169</v>
      </c>
      <c r="F68" s="56"/>
      <c r="G68" s="37"/>
      <c r="H68" s="60"/>
      <c r="I68" s="60"/>
      <c r="J68" s="60"/>
      <c r="K68" s="60"/>
      <c r="L68" s="60"/>
      <c r="M68" s="60"/>
      <c r="N68" s="60"/>
      <c r="O68" s="60"/>
      <c r="P68" s="59"/>
      <c r="Q68" s="59"/>
      <c r="R68" s="59"/>
      <c r="S68" s="59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40">
        <f t="shared" si="6"/>
        <v>0</v>
      </c>
      <c r="AK68" s="40">
        <f t="shared" si="7"/>
        <v>0</v>
      </c>
      <c r="AL68" s="40">
        <f t="shared" si="8"/>
        <v>0</v>
      </c>
      <c r="AM68" s="40">
        <f t="shared" si="9"/>
        <v>0</v>
      </c>
      <c r="AN68" s="38">
        <f t="shared" si="10"/>
        <v>0</v>
      </c>
      <c r="AO68" s="38">
        <f t="shared" si="10"/>
        <v>0</v>
      </c>
      <c r="AP68" s="38">
        <f t="shared" si="10"/>
        <v>0</v>
      </c>
      <c r="AQ68" s="38">
        <f t="shared" si="10"/>
        <v>0</v>
      </c>
      <c r="AR68" s="39"/>
      <c r="AS68" s="39"/>
      <c r="AT68" s="29"/>
    </row>
    <row r="69" spans="1:46" s="22" customFormat="1" ht="30" customHeight="1">
      <c r="A69" s="36"/>
      <c r="B69" s="28"/>
      <c r="C69" s="32" t="s">
        <v>266</v>
      </c>
      <c r="D69" s="29" t="s">
        <v>267</v>
      </c>
      <c r="E69" s="56">
        <v>46169</v>
      </c>
      <c r="F69" s="56"/>
      <c r="G69" s="37"/>
      <c r="H69" s="60"/>
      <c r="I69" s="60"/>
      <c r="J69" s="60"/>
      <c r="K69" s="60"/>
      <c r="L69" s="60"/>
      <c r="M69" s="60"/>
      <c r="N69" s="60"/>
      <c r="O69" s="60"/>
      <c r="P69" s="59"/>
      <c r="Q69" s="59"/>
      <c r="R69" s="59"/>
      <c r="S69" s="59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40">
        <f t="shared" si="6"/>
        <v>0</v>
      </c>
      <c r="AK69" s="40">
        <f t="shared" si="7"/>
        <v>0</v>
      </c>
      <c r="AL69" s="40">
        <f t="shared" si="8"/>
        <v>0</v>
      </c>
      <c r="AM69" s="40">
        <f t="shared" si="9"/>
        <v>0</v>
      </c>
      <c r="AN69" s="38">
        <f t="shared" si="10"/>
        <v>0</v>
      </c>
      <c r="AO69" s="38">
        <f t="shared" si="10"/>
        <v>0</v>
      </c>
      <c r="AP69" s="38">
        <f t="shared" si="10"/>
        <v>0</v>
      </c>
      <c r="AQ69" s="38">
        <f t="shared" si="10"/>
        <v>0</v>
      </c>
      <c r="AR69" s="39"/>
      <c r="AS69" s="39"/>
      <c r="AT69" s="29"/>
    </row>
    <row r="70" spans="1:46" s="22" customFormat="1" ht="30" customHeight="1">
      <c r="A70" s="36"/>
      <c r="B70" s="28"/>
      <c r="C70" s="32" t="s">
        <v>268</v>
      </c>
      <c r="D70" s="29" t="s">
        <v>269</v>
      </c>
      <c r="E70" s="56">
        <v>46169</v>
      </c>
      <c r="F70" s="56"/>
      <c r="G70" s="37"/>
      <c r="H70" s="60"/>
      <c r="I70" s="60"/>
      <c r="J70" s="60"/>
      <c r="K70" s="60"/>
      <c r="L70" s="60"/>
      <c r="M70" s="60"/>
      <c r="N70" s="60"/>
      <c r="O70" s="60"/>
      <c r="P70" s="59"/>
      <c r="Q70" s="59"/>
      <c r="R70" s="59"/>
      <c r="S70" s="59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40">
        <f t="shared" si="6"/>
        <v>0</v>
      </c>
      <c r="AK70" s="40">
        <f t="shared" si="7"/>
        <v>0</v>
      </c>
      <c r="AL70" s="40">
        <f t="shared" si="8"/>
        <v>0</v>
      </c>
      <c r="AM70" s="40">
        <f t="shared" si="9"/>
        <v>0</v>
      </c>
      <c r="AN70" s="38">
        <f t="shared" si="10"/>
        <v>0</v>
      </c>
      <c r="AO70" s="38">
        <f t="shared" si="10"/>
        <v>0</v>
      </c>
      <c r="AP70" s="38">
        <f t="shared" si="10"/>
        <v>0</v>
      </c>
      <c r="AQ70" s="38">
        <f t="shared" si="10"/>
        <v>0</v>
      </c>
      <c r="AR70" s="39"/>
      <c r="AS70" s="39"/>
      <c r="AT70" s="29"/>
    </row>
    <row r="71" spans="1:46" s="22" customFormat="1" ht="30" customHeight="1">
      <c r="A71" s="36"/>
      <c r="B71" s="28"/>
      <c r="C71" s="32" t="s">
        <v>270</v>
      </c>
      <c r="D71" s="29" t="s">
        <v>271</v>
      </c>
      <c r="E71" s="56">
        <v>46169</v>
      </c>
      <c r="F71" s="56"/>
      <c r="G71" s="37"/>
      <c r="H71" s="60"/>
      <c r="I71" s="60"/>
      <c r="J71" s="60"/>
      <c r="K71" s="60"/>
      <c r="L71" s="60"/>
      <c r="M71" s="60"/>
      <c r="N71" s="60"/>
      <c r="O71" s="60"/>
      <c r="P71" s="59"/>
      <c r="Q71" s="59"/>
      <c r="R71" s="59"/>
      <c r="S71" s="59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40">
        <f t="shared" si="6"/>
        <v>0</v>
      </c>
      <c r="AK71" s="40">
        <f t="shared" si="7"/>
        <v>0</v>
      </c>
      <c r="AL71" s="40">
        <f t="shared" si="8"/>
        <v>0</v>
      </c>
      <c r="AM71" s="40">
        <f t="shared" si="9"/>
        <v>0</v>
      </c>
      <c r="AN71" s="38">
        <f t="shared" si="10"/>
        <v>0</v>
      </c>
      <c r="AO71" s="38">
        <f t="shared" si="10"/>
        <v>0</v>
      </c>
      <c r="AP71" s="38">
        <f t="shared" si="10"/>
        <v>0</v>
      </c>
      <c r="AQ71" s="38">
        <f t="shared" si="10"/>
        <v>0</v>
      </c>
      <c r="AR71" s="39"/>
      <c r="AS71" s="39"/>
      <c r="AT71" s="29"/>
    </row>
    <row r="72" spans="1:46" s="22" customFormat="1" ht="30" customHeight="1">
      <c r="A72" s="36"/>
      <c r="B72" s="28"/>
      <c r="C72" s="32" t="s">
        <v>272</v>
      </c>
      <c r="D72" s="29" t="s">
        <v>273</v>
      </c>
      <c r="E72" s="56">
        <v>46169</v>
      </c>
      <c r="F72" s="56"/>
      <c r="G72" s="37"/>
      <c r="H72" s="60"/>
      <c r="I72" s="60"/>
      <c r="J72" s="60"/>
      <c r="K72" s="60"/>
      <c r="L72" s="60"/>
      <c r="M72" s="60"/>
      <c r="N72" s="60"/>
      <c r="O72" s="60"/>
      <c r="P72" s="59"/>
      <c r="Q72" s="59"/>
      <c r="R72" s="59"/>
      <c r="S72" s="59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40">
        <f t="shared" si="6"/>
        <v>0</v>
      </c>
      <c r="AK72" s="40">
        <f t="shared" si="7"/>
        <v>0</v>
      </c>
      <c r="AL72" s="40">
        <f t="shared" si="8"/>
        <v>0</v>
      </c>
      <c r="AM72" s="40">
        <f t="shared" si="9"/>
        <v>0</v>
      </c>
      <c r="AN72" s="38">
        <f t="shared" ref="AN72:AQ91" si="11">SUMIF($H$11:$AI$11,AN$11,$H72:$AI72)</f>
        <v>0</v>
      </c>
      <c r="AO72" s="38">
        <f t="shared" si="11"/>
        <v>0</v>
      </c>
      <c r="AP72" s="38">
        <f t="shared" si="11"/>
        <v>0</v>
      </c>
      <c r="AQ72" s="38">
        <f t="shared" si="11"/>
        <v>0</v>
      </c>
      <c r="AR72" s="39"/>
      <c r="AS72" s="39"/>
      <c r="AT72" s="29"/>
    </row>
    <row r="73" spans="1:46" s="22" customFormat="1" ht="30" customHeight="1">
      <c r="A73" s="36"/>
      <c r="B73" s="28"/>
      <c r="C73" s="32" t="s">
        <v>274</v>
      </c>
      <c r="D73" s="29" t="s">
        <v>275</v>
      </c>
      <c r="E73" s="56">
        <v>46169</v>
      </c>
      <c r="F73" s="56"/>
      <c r="G73" s="37"/>
      <c r="H73" s="60"/>
      <c r="I73" s="60"/>
      <c r="J73" s="60"/>
      <c r="K73" s="60"/>
      <c r="L73" s="60"/>
      <c r="M73" s="60"/>
      <c r="N73" s="60"/>
      <c r="O73" s="60"/>
      <c r="P73" s="59"/>
      <c r="Q73" s="59"/>
      <c r="R73" s="59"/>
      <c r="S73" s="59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40">
        <f t="shared" si="6"/>
        <v>0</v>
      </c>
      <c r="AK73" s="40">
        <f t="shared" si="7"/>
        <v>0</v>
      </c>
      <c r="AL73" s="40">
        <f t="shared" si="8"/>
        <v>0</v>
      </c>
      <c r="AM73" s="40">
        <f t="shared" si="9"/>
        <v>0</v>
      </c>
      <c r="AN73" s="38">
        <f t="shared" si="11"/>
        <v>0</v>
      </c>
      <c r="AO73" s="38">
        <f t="shared" si="11"/>
        <v>0</v>
      </c>
      <c r="AP73" s="38">
        <f t="shared" si="11"/>
        <v>0</v>
      </c>
      <c r="AQ73" s="38">
        <f t="shared" si="11"/>
        <v>0</v>
      </c>
      <c r="AR73" s="39"/>
      <c r="AS73" s="39"/>
      <c r="AT73" s="29"/>
    </row>
    <row r="74" spans="1:46" s="22" customFormat="1" ht="30" customHeight="1">
      <c r="A74" s="36"/>
      <c r="B74" s="28"/>
      <c r="C74" s="32" t="s">
        <v>276</v>
      </c>
      <c r="D74" s="29" t="s">
        <v>277</v>
      </c>
      <c r="E74" s="56">
        <v>46169</v>
      </c>
      <c r="F74" s="56"/>
      <c r="G74" s="37"/>
      <c r="H74" s="60"/>
      <c r="I74" s="60"/>
      <c r="J74" s="60"/>
      <c r="K74" s="60"/>
      <c r="L74" s="60"/>
      <c r="M74" s="60"/>
      <c r="N74" s="60"/>
      <c r="O74" s="60"/>
      <c r="P74" s="59"/>
      <c r="Q74" s="59"/>
      <c r="R74" s="59"/>
      <c r="S74" s="59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40">
        <f t="shared" si="6"/>
        <v>0</v>
      </c>
      <c r="AK74" s="40">
        <f t="shared" si="7"/>
        <v>0</v>
      </c>
      <c r="AL74" s="40">
        <f t="shared" si="8"/>
        <v>0</v>
      </c>
      <c r="AM74" s="40">
        <f t="shared" si="9"/>
        <v>0</v>
      </c>
      <c r="AN74" s="38">
        <f t="shared" si="11"/>
        <v>0</v>
      </c>
      <c r="AO74" s="38">
        <f t="shared" si="11"/>
        <v>0</v>
      </c>
      <c r="AP74" s="38">
        <f t="shared" si="11"/>
        <v>0</v>
      </c>
      <c r="AQ74" s="38">
        <f t="shared" si="11"/>
        <v>0</v>
      </c>
      <c r="AR74" s="39"/>
      <c r="AS74" s="39"/>
      <c r="AT74" s="29"/>
    </row>
    <row r="75" spans="1:46" s="22" customFormat="1" ht="30" customHeight="1">
      <c r="A75" s="36"/>
      <c r="B75" s="28"/>
      <c r="C75" s="32" t="s">
        <v>278</v>
      </c>
      <c r="D75" s="29" t="s">
        <v>279</v>
      </c>
      <c r="E75" s="56">
        <v>46169</v>
      </c>
      <c r="F75" s="56"/>
      <c r="G75" s="37"/>
      <c r="H75" s="60"/>
      <c r="I75" s="60"/>
      <c r="J75" s="60"/>
      <c r="K75" s="60"/>
      <c r="L75" s="60"/>
      <c r="M75" s="60"/>
      <c r="N75" s="60"/>
      <c r="O75" s="60"/>
      <c r="P75" s="59"/>
      <c r="Q75" s="59"/>
      <c r="R75" s="59"/>
      <c r="S75" s="59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40">
        <f t="shared" si="6"/>
        <v>0</v>
      </c>
      <c r="AK75" s="40">
        <f t="shared" si="7"/>
        <v>0</v>
      </c>
      <c r="AL75" s="40">
        <f t="shared" si="8"/>
        <v>0</v>
      </c>
      <c r="AM75" s="40">
        <f t="shared" si="9"/>
        <v>0</v>
      </c>
      <c r="AN75" s="38">
        <f t="shared" si="11"/>
        <v>0</v>
      </c>
      <c r="AO75" s="38">
        <f t="shared" si="11"/>
        <v>0</v>
      </c>
      <c r="AP75" s="38">
        <f t="shared" si="11"/>
        <v>0</v>
      </c>
      <c r="AQ75" s="38">
        <f t="shared" si="11"/>
        <v>0</v>
      </c>
      <c r="AR75" s="39"/>
      <c r="AS75" s="39"/>
      <c r="AT75" s="29"/>
    </row>
    <row r="76" spans="1:46" s="22" customFormat="1" ht="30" customHeight="1">
      <c r="A76" s="36"/>
      <c r="B76" s="28"/>
      <c r="C76" s="32" t="s">
        <v>104</v>
      </c>
      <c r="D76" s="29" t="s">
        <v>77</v>
      </c>
      <c r="E76" s="56">
        <v>46169</v>
      </c>
      <c r="F76" s="56"/>
      <c r="G76" s="37"/>
      <c r="H76" s="60"/>
      <c r="I76" s="60"/>
      <c r="J76" s="60"/>
      <c r="K76" s="60"/>
      <c r="L76" s="60"/>
      <c r="M76" s="60"/>
      <c r="N76" s="60"/>
      <c r="O76" s="60"/>
      <c r="P76" s="59"/>
      <c r="Q76" s="59"/>
      <c r="R76" s="59"/>
      <c r="S76" s="59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40">
        <f t="shared" ref="AJ76:AJ107" si="12">SUMIF($H$11:$AI$11,$AJ$11,H76:AI76)</f>
        <v>0</v>
      </c>
      <c r="AK76" s="40">
        <f t="shared" ref="AK76:AK107" si="13">SUMIF($H$11:$AI$11,$AK$11,H76:AI76)</f>
        <v>0</v>
      </c>
      <c r="AL76" s="40">
        <f t="shared" ref="AL76:AL107" si="14">SUMIF($H$11:$AI$11,$AL$11,H76:AI76)</f>
        <v>0</v>
      </c>
      <c r="AM76" s="40">
        <f t="shared" ref="AM76:AM107" si="15">SUMIF($H$11:$AI$11,$AM$11,H76:AI76)</f>
        <v>0</v>
      </c>
      <c r="AN76" s="38">
        <f t="shared" si="11"/>
        <v>0</v>
      </c>
      <c r="AO76" s="38">
        <f t="shared" si="11"/>
        <v>0</v>
      </c>
      <c r="AP76" s="38">
        <f t="shared" si="11"/>
        <v>0</v>
      </c>
      <c r="AQ76" s="38">
        <f t="shared" si="11"/>
        <v>0</v>
      </c>
      <c r="AR76" s="39"/>
      <c r="AS76" s="39"/>
      <c r="AT76" s="29"/>
    </row>
    <row r="77" spans="1:46" s="22" customFormat="1" ht="30" customHeight="1">
      <c r="A77" s="36"/>
      <c r="B77" s="28"/>
      <c r="C77" s="32" t="s">
        <v>280</v>
      </c>
      <c r="D77" s="29" t="s">
        <v>281</v>
      </c>
      <c r="E77" s="56">
        <v>46169</v>
      </c>
      <c r="F77" s="56"/>
      <c r="G77" s="37"/>
      <c r="H77" s="60"/>
      <c r="I77" s="60"/>
      <c r="J77" s="60"/>
      <c r="K77" s="60"/>
      <c r="L77" s="60"/>
      <c r="M77" s="60"/>
      <c r="N77" s="60"/>
      <c r="O77" s="60"/>
      <c r="P77" s="59"/>
      <c r="Q77" s="59"/>
      <c r="R77" s="59"/>
      <c r="S77" s="59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40">
        <f t="shared" si="12"/>
        <v>0</v>
      </c>
      <c r="AK77" s="40">
        <f t="shared" si="13"/>
        <v>0</v>
      </c>
      <c r="AL77" s="40">
        <f t="shared" si="14"/>
        <v>0</v>
      </c>
      <c r="AM77" s="40">
        <f t="shared" si="15"/>
        <v>0</v>
      </c>
      <c r="AN77" s="38">
        <f t="shared" si="11"/>
        <v>0</v>
      </c>
      <c r="AO77" s="38">
        <f t="shared" si="11"/>
        <v>0</v>
      </c>
      <c r="AP77" s="38">
        <f t="shared" si="11"/>
        <v>0</v>
      </c>
      <c r="AQ77" s="38">
        <f t="shared" si="11"/>
        <v>0</v>
      </c>
      <c r="AR77" s="39"/>
      <c r="AS77" s="39"/>
      <c r="AT77" s="29"/>
    </row>
    <row r="78" spans="1:46" s="22" customFormat="1" ht="30" customHeight="1">
      <c r="A78" s="36"/>
      <c r="B78" s="28"/>
      <c r="C78" s="32" t="s">
        <v>282</v>
      </c>
      <c r="D78" s="29" t="s">
        <v>283</v>
      </c>
      <c r="E78" s="56">
        <v>46169</v>
      </c>
      <c r="F78" s="56"/>
      <c r="G78" s="37"/>
      <c r="H78" s="60"/>
      <c r="I78" s="60"/>
      <c r="J78" s="60"/>
      <c r="K78" s="60"/>
      <c r="L78" s="60"/>
      <c r="M78" s="60"/>
      <c r="N78" s="60"/>
      <c r="O78" s="60"/>
      <c r="P78" s="59"/>
      <c r="Q78" s="59"/>
      <c r="R78" s="59"/>
      <c r="S78" s="59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40">
        <f t="shared" si="12"/>
        <v>0</v>
      </c>
      <c r="AK78" s="40">
        <f t="shared" si="13"/>
        <v>0</v>
      </c>
      <c r="AL78" s="40">
        <f t="shared" si="14"/>
        <v>0</v>
      </c>
      <c r="AM78" s="40">
        <f t="shared" si="15"/>
        <v>0</v>
      </c>
      <c r="AN78" s="38">
        <f t="shared" si="11"/>
        <v>0</v>
      </c>
      <c r="AO78" s="38">
        <f t="shared" si="11"/>
        <v>0</v>
      </c>
      <c r="AP78" s="38">
        <f t="shared" si="11"/>
        <v>0</v>
      </c>
      <c r="AQ78" s="38">
        <f t="shared" si="11"/>
        <v>0</v>
      </c>
      <c r="AR78" s="39"/>
      <c r="AS78" s="39"/>
      <c r="AT78" s="29"/>
    </row>
    <row r="79" spans="1:46" s="22" customFormat="1" ht="30" customHeight="1">
      <c r="A79" s="36"/>
      <c r="B79" s="28"/>
      <c r="C79" s="32" t="s">
        <v>284</v>
      </c>
      <c r="D79" s="29" t="s">
        <v>243</v>
      </c>
      <c r="E79" s="56">
        <v>46169</v>
      </c>
      <c r="F79" s="56"/>
      <c r="G79" s="37"/>
      <c r="H79" s="60"/>
      <c r="I79" s="60"/>
      <c r="J79" s="60"/>
      <c r="K79" s="60"/>
      <c r="L79" s="60"/>
      <c r="M79" s="60"/>
      <c r="N79" s="60"/>
      <c r="O79" s="60"/>
      <c r="P79" s="59"/>
      <c r="Q79" s="59"/>
      <c r="R79" s="59"/>
      <c r="S79" s="59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40">
        <f t="shared" si="12"/>
        <v>0</v>
      </c>
      <c r="AK79" s="40">
        <f t="shared" si="13"/>
        <v>0</v>
      </c>
      <c r="AL79" s="40">
        <f t="shared" si="14"/>
        <v>0</v>
      </c>
      <c r="AM79" s="40">
        <f t="shared" si="15"/>
        <v>0</v>
      </c>
      <c r="AN79" s="38">
        <f t="shared" si="11"/>
        <v>0</v>
      </c>
      <c r="AO79" s="38">
        <f t="shared" si="11"/>
        <v>0</v>
      </c>
      <c r="AP79" s="38">
        <f t="shared" si="11"/>
        <v>0</v>
      </c>
      <c r="AQ79" s="38">
        <f t="shared" si="11"/>
        <v>0</v>
      </c>
      <c r="AR79" s="39"/>
      <c r="AS79" s="39"/>
      <c r="AT79" s="29"/>
    </row>
    <row r="80" spans="1:46" s="22" customFormat="1" ht="30" customHeight="1">
      <c r="A80" s="36"/>
      <c r="B80" s="28"/>
      <c r="C80" s="32" t="s">
        <v>285</v>
      </c>
      <c r="D80" s="29" t="s">
        <v>286</v>
      </c>
      <c r="E80" s="56">
        <v>46169</v>
      </c>
      <c r="F80" s="56"/>
      <c r="G80" s="37"/>
      <c r="H80" s="60"/>
      <c r="I80" s="60"/>
      <c r="J80" s="60"/>
      <c r="K80" s="60"/>
      <c r="L80" s="60"/>
      <c r="M80" s="60"/>
      <c r="N80" s="60"/>
      <c r="O80" s="60"/>
      <c r="P80" s="59"/>
      <c r="Q80" s="59"/>
      <c r="R80" s="59"/>
      <c r="S80" s="59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40">
        <f t="shared" si="12"/>
        <v>0</v>
      </c>
      <c r="AK80" s="40">
        <f t="shared" si="13"/>
        <v>0</v>
      </c>
      <c r="AL80" s="40">
        <f t="shared" si="14"/>
        <v>0</v>
      </c>
      <c r="AM80" s="40">
        <f t="shared" si="15"/>
        <v>0</v>
      </c>
      <c r="AN80" s="38">
        <f t="shared" si="11"/>
        <v>0</v>
      </c>
      <c r="AO80" s="38">
        <f t="shared" si="11"/>
        <v>0</v>
      </c>
      <c r="AP80" s="38">
        <f t="shared" si="11"/>
        <v>0</v>
      </c>
      <c r="AQ80" s="38">
        <f t="shared" si="11"/>
        <v>0</v>
      </c>
      <c r="AR80" s="39"/>
      <c r="AS80" s="39"/>
      <c r="AT80" s="29"/>
    </row>
    <row r="81" spans="1:46" s="22" customFormat="1" ht="30" customHeight="1">
      <c r="A81" s="36"/>
      <c r="B81" s="28"/>
      <c r="C81" s="32" t="s">
        <v>287</v>
      </c>
      <c r="D81" s="29" t="s">
        <v>288</v>
      </c>
      <c r="E81" s="56">
        <v>46169</v>
      </c>
      <c r="F81" s="56"/>
      <c r="G81" s="37"/>
      <c r="H81" s="60"/>
      <c r="I81" s="60"/>
      <c r="J81" s="60"/>
      <c r="K81" s="60"/>
      <c r="L81" s="60"/>
      <c r="M81" s="60"/>
      <c r="N81" s="60"/>
      <c r="O81" s="60"/>
      <c r="P81" s="59"/>
      <c r="Q81" s="59"/>
      <c r="R81" s="59"/>
      <c r="S81" s="59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40">
        <f t="shared" si="12"/>
        <v>0</v>
      </c>
      <c r="AK81" s="40">
        <f t="shared" si="13"/>
        <v>0</v>
      </c>
      <c r="AL81" s="40">
        <f t="shared" si="14"/>
        <v>0</v>
      </c>
      <c r="AM81" s="40">
        <f t="shared" si="15"/>
        <v>0</v>
      </c>
      <c r="AN81" s="38">
        <f t="shared" si="11"/>
        <v>0</v>
      </c>
      <c r="AO81" s="38">
        <f t="shared" si="11"/>
        <v>0</v>
      </c>
      <c r="AP81" s="38">
        <f t="shared" si="11"/>
        <v>0</v>
      </c>
      <c r="AQ81" s="38">
        <f t="shared" si="11"/>
        <v>0</v>
      </c>
      <c r="AR81" s="39"/>
      <c r="AS81" s="39"/>
      <c r="AT81" s="29"/>
    </row>
    <row r="82" spans="1:46" s="22" customFormat="1" ht="30" customHeight="1">
      <c r="A82" s="36"/>
      <c r="B82" s="28"/>
      <c r="C82" s="32" t="s">
        <v>289</v>
      </c>
      <c r="D82" s="29" t="s">
        <v>290</v>
      </c>
      <c r="E82" s="56">
        <v>46169</v>
      </c>
      <c r="F82" s="56"/>
      <c r="G82" s="37"/>
      <c r="H82" s="60"/>
      <c r="I82" s="60"/>
      <c r="J82" s="60"/>
      <c r="K82" s="60"/>
      <c r="L82" s="60"/>
      <c r="M82" s="60"/>
      <c r="N82" s="60"/>
      <c r="O82" s="60"/>
      <c r="P82" s="59"/>
      <c r="Q82" s="59"/>
      <c r="R82" s="59"/>
      <c r="S82" s="59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40">
        <f t="shared" si="12"/>
        <v>0</v>
      </c>
      <c r="AK82" s="40">
        <f t="shared" si="13"/>
        <v>0</v>
      </c>
      <c r="AL82" s="40">
        <f t="shared" si="14"/>
        <v>0</v>
      </c>
      <c r="AM82" s="40">
        <f t="shared" si="15"/>
        <v>0</v>
      </c>
      <c r="AN82" s="38">
        <f t="shared" si="11"/>
        <v>0</v>
      </c>
      <c r="AO82" s="38">
        <f t="shared" si="11"/>
        <v>0</v>
      </c>
      <c r="AP82" s="38">
        <f t="shared" si="11"/>
        <v>0</v>
      </c>
      <c r="AQ82" s="38">
        <f t="shared" si="11"/>
        <v>0</v>
      </c>
      <c r="AR82" s="39"/>
      <c r="AS82" s="39"/>
      <c r="AT82" s="29"/>
    </row>
    <row r="83" spans="1:46" s="22" customFormat="1" ht="30" customHeight="1">
      <c r="A83" s="36"/>
      <c r="B83" s="28"/>
      <c r="C83" s="32" t="s">
        <v>291</v>
      </c>
      <c r="D83" s="29" t="s">
        <v>292</v>
      </c>
      <c r="E83" s="56">
        <v>46169</v>
      </c>
      <c r="F83" s="56"/>
      <c r="G83" s="37"/>
      <c r="H83" s="60"/>
      <c r="I83" s="60"/>
      <c r="J83" s="60"/>
      <c r="K83" s="60"/>
      <c r="L83" s="60"/>
      <c r="M83" s="60"/>
      <c r="N83" s="60"/>
      <c r="O83" s="60"/>
      <c r="P83" s="59"/>
      <c r="Q83" s="59"/>
      <c r="R83" s="59"/>
      <c r="S83" s="59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40">
        <f t="shared" si="12"/>
        <v>0</v>
      </c>
      <c r="AK83" s="40">
        <f t="shared" si="13"/>
        <v>0</v>
      </c>
      <c r="AL83" s="40">
        <f t="shared" si="14"/>
        <v>0</v>
      </c>
      <c r="AM83" s="40">
        <f t="shared" si="15"/>
        <v>0</v>
      </c>
      <c r="AN83" s="38">
        <f t="shared" si="11"/>
        <v>0</v>
      </c>
      <c r="AO83" s="38">
        <f t="shared" si="11"/>
        <v>0</v>
      </c>
      <c r="AP83" s="38">
        <f t="shared" si="11"/>
        <v>0</v>
      </c>
      <c r="AQ83" s="38">
        <f t="shared" si="11"/>
        <v>0</v>
      </c>
      <c r="AR83" s="39"/>
      <c r="AS83" s="39"/>
      <c r="AT83" s="29"/>
    </row>
    <row r="84" spans="1:46" s="22" customFormat="1" ht="30" customHeight="1">
      <c r="A84" s="36"/>
      <c r="B84" s="28"/>
      <c r="C84" s="32" t="s">
        <v>293</v>
      </c>
      <c r="D84" s="29" t="s">
        <v>294</v>
      </c>
      <c r="E84" s="56">
        <v>46169</v>
      </c>
      <c r="F84" s="56"/>
      <c r="G84" s="37"/>
      <c r="H84" s="60"/>
      <c r="I84" s="60"/>
      <c r="J84" s="60"/>
      <c r="K84" s="60"/>
      <c r="L84" s="60"/>
      <c r="M84" s="60"/>
      <c r="N84" s="60"/>
      <c r="O84" s="60"/>
      <c r="P84" s="59"/>
      <c r="Q84" s="59"/>
      <c r="R84" s="59"/>
      <c r="S84" s="59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40">
        <f t="shared" si="12"/>
        <v>0</v>
      </c>
      <c r="AK84" s="40">
        <f t="shared" si="13"/>
        <v>0</v>
      </c>
      <c r="AL84" s="40">
        <f t="shared" si="14"/>
        <v>0</v>
      </c>
      <c r="AM84" s="40">
        <f t="shared" si="15"/>
        <v>0</v>
      </c>
      <c r="AN84" s="38">
        <f t="shared" si="11"/>
        <v>0</v>
      </c>
      <c r="AO84" s="38">
        <f t="shared" si="11"/>
        <v>0</v>
      </c>
      <c r="AP84" s="38">
        <f t="shared" si="11"/>
        <v>0</v>
      </c>
      <c r="AQ84" s="38">
        <f t="shared" si="11"/>
        <v>0</v>
      </c>
      <c r="AR84" s="39"/>
      <c r="AS84" s="39"/>
      <c r="AT84" s="29"/>
    </row>
    <row r="85" spans="1:46" s="22" customFormat="1" ht="30" customHeight="1">
      <c r="A85" s="36"/>
      <c r="B85" s="28"/>
      <c r="C85" s="32" t="s">
        <v>295</v>
      </c>
      <c r="D85" s="29" t="s">
        <v>296</v>
      </c>
      <c r="E85" s="56">
        <v>46169</v>
      </c>
      <c r="F85" s="56"/>
      <c r="G85" s="37"/>
      <c r="H85" s="60"/>
      <c r="I85" s="60"/>
      <c r="J85" s="60"/>
      <c r="K85" s="60"/>
      <c r="L85" s="60"/>
      <c r="M85" s="60"/>
      <c r="N85" s="60"/>
      <c r="O85" s="60"/>
      <c r="P85" s="59"/>
      <c r="Q85" s="59"/>
      <c r="R85" s="59"/>
      <c r="S85" s="59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40">
        <f t="shared" si="12"/>
        <v>0</v>
      </c>
      <c r="AK85" s="40">
        <f t="shared" si="13"/>
        <v>0</v>
      </c>
      <c r="AL85" s="40">
        <f t="shared" si="14"/>
        <v>0</v>
      </c>
      <c r="AM85" s="40">
        <f t="shared" si="15"/>
        <v>0</v>
      </c>
      <c r="AN85" s="38">
        <f t="shared" si="11"/>
        <v>0</v>
      </c>
      <c r="AO85" s="38">
        <f t="shared" si="11"/>
        <v>0</v>
      </c>
      <c r="AP85" s="38">
        <f t="shared" si="11"/>
        <v>0</v>
      </c>
      <c r="AQ85" s="38">
        <f t="shared" si="11"/>
        <v>0</v>
      </c>
      <c r="AR85" s="39"/>
      <c r="AS85" s="39"/>
      <c r="AT85" s="29"/>
    </row>
    <row r="86" spans="1:46" s="22" customFormat="1" ht="30" customHeight="1">
      <c r="A86" s="36"/>
      <c r="B86" s="28"/>
      <c r="C86" s="32" t="s">
        <v>297</v>
      </c>
      <c r="D86" s="29" t="s">
        <v>298</v>
      </c>
      <c r="E86" s="56">
        <v>46169</v>
      </c>
      <c r="F86" s="56"/>
      <c r="G86" s="37"/>
      <c r="H86" s="60"/>
      <c r="I86" s="60"/>
      <c r="J86" s="60"/>
      <c r="K86" s="60"/>
      <c r="L86" s="60"/>
      <c r="M86" s="60"/>
      <c r="N86" s="60"/>
      <c r="O86" s="60"/>
      <c r="P86" s="59"/>
      <c r="Q86" s="59"/>
      <c r="R86" s="59"/>
      <c r="S86" s="59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40">
        <f t="shared" si="12"/>
        <v>0</v>
      </c>
      <c r="AK86" s="40">
        <f t="shared" si="13"/>
        <v>0</v>
      </c>
      <c r="AL86" s="40">
        <f t="shared" si="14"/>
        <v>0</v>
      </c>
      <c r="AM86" s="40">
        <f t="shared" si="15"/>
        <v>0</v>
      </c>
      <c r="AN86" s="38">
        <f t="shared" si="11"/>
        <v>0</v>
      </c>
      <c r="AO86" s="38">
        <f t="shared" si="11"/>
        <v>0</v>
      </c>
      <c r="AP86" s="38">
        <f t="shared" si="11"/>
        <v>0</v>
      </c>
      <c r="AQ86" s="38">
        <f t="shared" si="11"/>
        <v>0</v>
      </c>
      <c r="AR86" s="39"/>
      <c r="AS86" s="39"/>
      <c r="AT86" s="29"/>
    </row>
    <row r="87" spans="1:46" s="22" customFormat="1" ht="30" customHeight="1">
      <c r="A87" s="36"/>
      <c r="B87" s="28"/>
      <c r="C87" s="32" t="s">
        <v>299</v>
      </c>
      <c r="D87" s="29" t="s">
        <v>300</v>
      </c>
      <c r="E87" s="56">
        <v>46169</v>
      </c>
      <c r="F87" s="56"/>
      <c r="G87" s="37"/>
      <c r="H87" s="60"/>
      <c r="I87" s="60"/>
      <c r="J87" s="60"/>
      <c r="K87" s="60"/>
      <c r="L87" s="60"/>
      <c r="M87" s="60"/>
      <c r="N87" s="60"/>
      <c r="O87" s="60"/>
      <c r="P87" s="59"/>
      <c r="Q87" s="59"/>
      <c r="R87" s="59"/>
      <c r="S87" s="59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40">
        <f t="shared" si="12"/>
        <v>0</v>
      </c>
      <c r="AK87" s="40">
        <f t="shared" si="13"/>
        <v>0</v>
      </c>
      <c r="AL87" s="40">
        <f t="shared" si="14"/>
        <v>0</v>
      </c>
      <c r="AM87" s="40">
        <f t="shared" si="15"/>
        <v>0</v>
      </c>
      <c r="AN87" s="38">
        <f t="shared" si="11"/>
        <v>0</v>
      </c>
      <c r="AO87" s="38">
        <f t="shared" si="11"/>
        <v>0</v>
      </c>
      <c r="AP87" s="38">
        <f t="shared" si="11"/>
        <v>0</v>
      </c>
      <c r="AQ87" s="38">
        <f t="shared" si="11"/>
        <v>0</v>
      </c>
      <c r="AR87" s="39"/>
      <c r="AS87" s="39"/>
      <c r="AT87" s="29"/>
    </row>
    <row r="88" spans="1:46" s="22" customFormat="1" ht="30" customHeight="1">
      <c r="A88" s="36"/>
      <c r="B88" s="28"/>
      <c r="C88" s="32" t="s">
        <v>301</v>
      </c>
      <c r="D88" s="29" t="s">
        <v>302</v>
      </c>
      <c r="E88" s="56">
        <v>46169</v>
      </c>
      <c r="F88" s="56"/>
      <c r="G88" s="37"/>
      <c r="H88" s="60"/>
      <c r="I88" s="60"/>
      <c r="J88" s="60"/>
      <c r="K88" s="60"/>
      <c r="L88" s="60"/>
      <c r="M88" s="60"/>
      <c r="N88" s="60"/>
      <c r="O88" s="60"/>
      <c r="P88" s="59"/>
      <c r="Q88" s="59"/>
      <c r="R88" s="59"/>
      <c r="S88" s="59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40">
        <f t="shared" si="12"/>
        <v>0</v>
      </c>
      <c r="AK88" s="40">
        <f t="shared" si="13"/>
        <v>0</v>
      </c>
      <c r="AL88" s="40">
        <f t="shared" si="14"/>
        <v>0</v>
      </c>
      <c r="AM88" s="40">
        <f t="shared" si="15"/>
        <v>0</v>
      </c>
      <c r="AN88" s="38">
        <f t="shared" si="11"/>
        <v>0</v>
      </c>
      <c r="AO88" s="38">
        <f t="shared" si="11"/>
        <v>0</v>
      </c>
      <c r="AP88" s="38">
        <f t="shared" si="11"/>
        <v>0</v>
      </c>
      <c r="AQ88" s="38">
        <f t="shared" si="11"/>
        <v>0</v>
      </c>
      <c r="AR88" s="39"/>
      <c r="AS88" s="39"/>
      <c r="AT88" s="29"/>
    </row>
    <row r="89" spans="1:46" s="22" customFormat="1" ht="30" customHeight="1">
      <c r="A89" s="36"/>
      <c r="B89" s="28"/>
      <c r="C89" s="32" t="s">
        <v>303</v>
      </c>
      <c r="D89" s="29" t="s">
        <v>304</v>
      </c>
      <c r="E89" s="56">
        <v>46169</v>
      </c>
      <c r="F89" s="56"/>
      <c r="G89" s="37"/>
      <c r="H89" s="60"/>
      <c r="I89" s="60"/>
      <c r="J89" s="60"/>
      <c r="K89" s="60"/>
      <c r="L89" s="60"/>
      <c r="M89" s="60"/>
      <c r="N89" s="60"/>
      <c r="O89" s="60"/>
      <c r="P89" s="59"/>
      <c r="Q89" s="59"/>
      <c r="R89" s="59"/>
      <c r="S89" s="59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40">
        <f t="shared" si="12"/>
        <v>0</v>
      </c>
      <c r="AK89" s="40">
        <f t="shared" si="13"/>
        <v>0</v>
      </c>
      <c r="AL89" s="40">
        <f t="shared" si="14"/>
        <v>0</v>
      </c>
      <c r="AM89" s="40">
        <f t="shared" si="15"/>
        <v>0</v>
      </c>
      <c r="AN89" s="38">
        <f t="shared" si="11"/>
        <v>0</v>
      </c>
      <c r="AO89" s="38">
        <f t="shared" si="11"/>
        <v>0</v>
      </c>
      <c r="AP89" s="38">
        <f t="shared" si="11"/>
        <v>0</v>
      </c>
      <c r="AQ89" s="38">
        <f t="shared" si="11"/>
        <v>0</v>
      </c>
      <c r="AR89" s="39"/>
      <c r="AS89" s="39"/>
      <c r="AT89" s="29"/>
    </row>
    <row r="90" spans="1:46" s="22" customFormat="1" ht="30" customHeight="1">
      <c r="A90" s="36"/>
      <c r="B90" s="28"/>
      <c r="C90" s="32" t="s">
        <v>305</v>
      </c>
      <c r="D90" s="29" t="s">
        <v>306</v>
      </c>
      <c r="E90" s="56">
        <v>46169</v>
      </c>
      <c r="F90" s="56"/>
      <c r="G90" s="37"/>
      <c r="H90" s="60"/>
      <c r="I90" s="60"/>
      <c r="J90" s="60"/>
      <c r="K90" s="60"/>
      <c r="L90" s="60"/>
      <c r="M90" s="60"/>
      <c r="N90" s="60"/>
      <c r="O90" s="60"/>
      <c r="P90" s="59"/>
      <c r="Q90" s="59"/>
      <c r="R90" s="59"/>
      <c r="S90" s="59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40">
        <f t="shared" si="12"/>
        <v>0</v>
      </c>
      <c r="AK90" s="40">
        <f t="shared" si="13"/>
        <v>0</v>
      </c>
      <c r="AL90" s="40">
        <f t="shared" si="14"/>
        <v>0</v>
      </c>
      <c r="AM90" s="40">
        <f t="shared" si="15"/>
        <v>0</v>
      </c>
      <c r="AN90" s="38">
        <f t="shared" si="11"/>
        <v>0</v>
      </c>
      <c r="AO90" s="38">
        <f t="shared" si="11"/>
        <v>0</v>
      </c>
      <c r="AP90" s="38">
        <f t="shared" si="11"/>
        <v>0</v>
      </c>
      <c r="AQ90" s="38">
        <f t="shared" si="11"/>
        <v>0</v>
      </c>
      <c r="AR90" s="39"/>
      <c r="AS90" s="39"/>
      <c r="AT90" s="29"/>
    </row>
    <row r="91" spans="1:46" s="22" customFormat="1" ht="30" customHeight="1">
      <c r="A91" s="36"/>
      <c r="B91" s="28"/>
      <c r="C91" s="32" t="s">
        <v>307</v>
      </c>
      <c r="D91" s="29" t="s">
        <v>308</v>
      </c>
      <c r="E91" s="56">
        <v>46169</v>
      </c>
      <c r="F91" s="56"/>
      <c r="G91" s="37"/>
      <c r="H91" s="60"/>
      <c r="I91" s="60"/>
      <c r="J91" s="60"/>
      <c r="K91" s="60"/>
      <c r="L91" s="60"/>
      <c r="M91" s="60"/>
      <c r="N91" s="60"/>
      <c r="O91" s="60"/>
      <c r="P91" s="59"/>
      <c r="Q91" s="59"/>
      <c r="R91" s="59"/>
      <c r="S91" s="59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40">
        <f t="shared" si="12"/>
        <v>0</v>
      </c>
      <c r="AK91" s="40">
        <f t="shared" si="13"/>
        <v>0</v>
      </c>
      <c r="AL91" s="40">
        <f t="shared" si="14"/>
        <v>0</v>
      </c>
      <c r="AM91" s="40">
        <f t="shared" si="15"/>
        <v>0</v>
      </c>
      <c r="AN91" s="38">
        <f t="shared" si="11"/>
        <v>0</v>
      </c>
      <c r="AO91" s="38">
        <f t="shared" si="11"/>
        <v>0</v>
      </c>
      <c r="AP91" s="38">
        <f t="shared" si="11"/>
        <v>0</v>
      </c>
      <c r="AQ91" s="38">
        <f t="shared" si="11"/>
        <v>0</v>
      </c>
      <c r="AR91" s="39"/>
      <c r="AS91" s="39"/>
      <c r="AT91" s="29"/>
    </row>
    <row r="92" spans="1:46" s="22" customFormat="1" ht="30" customHeight="1">
      <c r="A92" s="36"/>
      <c r="B92" s="28"/>
      <c r="C92" s="32" t="s">
        <v>309</v>
      </c>
      <c r="D92" s="29" t="s">
        <v>310</v>
      </c>
      <c r="E92" s="56">
        <v>46169</v>
      </c>
      <c r="F92" s="56"/>
      <c r="G92" s="37"/>
      <c r="H92" s="60"/>
      <c r="I92" s="60"/>
      <c r="J92" s="60"/>
      <c r="K92" s="60"/>
      <c r="L92" s="60"/>
      <c r="M92" s="60"/>
      <c r="N92" s="60"/>
      <c r="O92" s="60"/>
      <c r="P92" s="59"/>
      <c r="Q92" s="59"/>
      <c r="R92" s="59"/>
      <c r="S92" s="59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40">
        <f t="shared" si="12"/>
        <v>0</v>
      </c>
      <c r="AK92" s="40">
        <f t="shared" si="13"/>
        <v>0</v>
      </c>
      <c r="AL92" s="40">
        <f t="shared" si="14"/>
        <v>0</v>
      </c>
      <c r="AM92" s="40">
        <f t="shared" si="15"/>
        <v>0</v>
      </c>
      <c r="AN92" s="38">
        <f t="shared" ref="AN92:AQ111" si="16">SUMIF($H$11:$AI$11,AN$11,$H92:$AI92)</f>
        <v>0</v>
      </c>
      <c r="AO92" s="38">
        <f t="shared" si="16"/>
        <v>0</v>
      </c>
      <c r="AP92" s="38">
        <f t="shared" si="16"/>
        <v>0</v>
      </c>
      <c r="AQ92" s="38">
        <f t="shared" si="16"/>
        <v>0</v>
      </c>
      <c r="AR92" s="39"/>
      <c r="AS92" s="39"/>
      <c r="AT92" s="29"/>
    </row>
    <row r="93" spans="1:46" s="22" customFormat="1" ht="30" customHeight="1">
      <c r="A93" s="36"/>
      <c r="B93" s="28"/>
      <c r="C93" s="32" t="s">
        <v>311</v>
      </c>
      <c r="D93" s="29" t="s">
        <v>312</v>
      </c>
      <c r="E93" s="56">
        <v>46169</v>
      </c>
      <c r="F93" s="56"/>
      <c r="G93" s="37"/>
      <c r="H93" s="60"/>
      <c r="I93" s="60"/>
      <c r="J93" s="60"/>
      <c r="K93" s="60"/>
      <c r="L93" s="60"/>
      <c r="M93" s="60"/>
      <c r="N93" s="60"/>
      <c r="O93" s="60"/>
      <c r="P93" s="59"/>
      <c r="Q93" s="59"/>
      <c r="R93" s="59"/>
      <c r="S93" s="59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40">
        <f t="shared" si="12"/>
        <v>0</v>
      </c>
      <c r="AK93" s="40">
        <f t="shared" si="13"/>
        <v>0</v>
      </c>
      <c r="AL93" s="40">
        <f t="shared" si="14"/>
        <v>0</v>
      </c>
      <c r="AM93" s="40">
        <f t="shared" si="15"/>
        <v>0</v>
      </c>
      <c r="AN93" s="38">
        <f t="shared" si="16"/>
        <v>0</v>
      </c>
      <c r="AO93" s="38">
        <f t="shared" si="16"/>
        <v>0</v>
      </c>
      <c r="AP93" s="38">
        <f t="shared" si="16"/>
        <v>0</v>
      </c>
      <c r="AQ93" s="38">
        <f t="shared" si="16"/>
        <v>0</v>
      </c>
      <c r="AR93" s="39"/>
      <c r="AS93" s="39"/>
      <c r="AT93" s="29"/>
    </row>
    <row r="94" spans="1:46" s="22" customFormat="1" ht="30" customHeight="1">
      <c r="A94" s="36"/>
      <c r="B94" s="28"/>
      <c r="C94" s="32" t="s">
        <v>313</v>
      </c>
      <c r="D94" s="29" t="s">
        <v>314</v>
      </c>
      <c r="E94" s="56">
        <v>46169</v>
      </c>
      <c r="F94" s="56"/>
      <c r="G94" s="37"/>
      <c r="H94" s="60"/>
      <c r="I94" s="60"/>
      <c r="J94" s="60"/>
      <c r="K94" s="60"/>
      <c r="L94" s="60"/>
      <c r="M94" s="60"/>
      <c r="N94" s="60"/>
      <c r="O94" s="60"/>
      <c r="P94" s="59"/>
      <c r="Q94" s="59"/>
      <c r="R94" s="59"/>
      <c r="S94" s="59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40">
        <f t="shared" si="12"/>
        <v>0</v>
      </c>
      <c r="AK94" s="40">
        <f t="shared" si="13"/>
        <v>0</v>
      </c>
      <c r="AL94" s="40">
        <f t="shared" si="14"/>
        <v>0</v>
      </c>
      <c r="AM94" s="40">
        <f t="shared" si="15"/>
        <v>0</v>
      </c>
      <c r="AN94" s="38">
        <f t="shared" si="16"/>
        <v>0</v>
      </c>
      <c r="AO94" s="38">
        <f t="shared" si="16"/>
        <v>0</v>
      </c>
      <c r="AP94" s="38">
        <f t="shared" si="16"/>
        <v>0</v>
      </c>
      <c r="AQ94" s="38">
        <f t="shared" si="16"/>
        <v>0</v>
      </c>
      <c r="AR94" s="39"/>
      <c r="AS94" s="39"/>
      <c r="AT94" s="29"/>
    </row>
    <row r="95" spans="1:46" s="22" customFormat="1" ht="30" customHeight="1">
      <c r="A95" s="36"/>
      <c r="B95" s="28"/>
      <c r="C95" s="32" t="s">
        <v>315</v>
      </c>
      <c r="D95" s="29" t="s">
        <v>316</v>
      </c>
      <c r="E95" s="56">
        <v>46169</v>
      </c>
      <c r="F95" s="56"/>
      <c r="G95" s="37"/>
      <c r="H95" s="60"/>
      <c r="I95" s="60"/>
      <c r="J95" s="60"/>
      <c r="K95" s="60"/>
      <c r="L95" s="60"/>
      <c r="M95" s="60"/>
      <c r="N95" s="60"/>
      <c r="O95" s="60"/>
      <c r="P95" s="59"/>
      <c r="Q95" s="59"/>
      <c r="R95" s="59"/>
      <c r="S95" s="59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40">
        <f t="shared" si="12"/>
        <v>0</v>
      </c>
      <c r="AK95" s="40">
        <f t="shared" si="13"/>
        <v>0</v>
      </c>
      <c r="AL95" s="40">
        <f t="shared" si="14"/>
        <v>0</v>
      </c>
      <c r="AM95" s="40">
        <f t="shared" si="15"/>
        <v>0</v>
      </c>
      <c r="AN95" s="38">
        <f t="shared" si="16"/>
        <v>0</v>
      </c>
      <c r="AO95" s="38">
        <f t="shared" si="16"/>
        <v>0</v>
      </c>
      <c r="AP95" s="38">
        <f t="shared" si="16"/>
        <v>0</v>
      </c>
      <c r="AQ95" s="38">
        <f t="shared" si="16"/>
        <v>0</v>
      </c>
      <c r="AR95" s="39"/>
      <c r="AS95" s="39"/>
      <c r="AT95" s="29"/>
    </row>
    <row r="96" spans="1:46" s="22" customFormat="1" ht="30" customHeight="1">
      <c r="A96" s="36"/>
      <c r="B96" s="28"/>
      <c r="C96" s="32" t="s">
        <v>317</v>
      </c>
      <c r="D96" s="29" t="s">
        <v>318</v>
      </c>
      <c r="E96" s="56">
        <v>46169</v>
      </c>
      <c r="F96" s="56"/>
      <c r="G96" s="37"/>
      <c r="H96" s="60"/>
      <c r="I96" s="60"/>
      <c r="J96" s="60"/>
      <c r="K96" s="60"/>
      <c r="L96" s="60"/>
      <c r="M96" s="60"/>
      <c r="N96" s="60"/>
      <c r="O96" s="60"/>
      <c r="P96" s="59"/>
      <c r="Q96" s="59"/>
      <c r="R96" s="59"/>
      <c r="S96" s="59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40">
        <f t="shared" si="12"/>
        <v>0</v>
      </c>
      <c r="AK96" s="40">
        <f t="shared" si="13"/>
        <v>0</v>
      </c>
      <c r="AL96" s="40">
        <f t="shared" si="14"/>
        <v>0</v>
      </c>
      <c r="AM96" s="40">
        <f t="shared" si="15"/>
        <v>0</v>
      </c>
      <c r="AN96" s="38">
        <f t="shared" si="16"/>
        <v>0</v>
      </c>
      <c r="AO96" s="38">
        <f t="shared" si="16"/>
        <v>0</v>
      </c>
      <c r="AP96" s="38">
        <f t="shared" si="16"/>
        <v>0</v>
      </c>
      <c r="AQ96" s="38">
        <f t="shared" si="16"/>
        <v>0</v>
      </c>
      <c r="AR96" s="39"/>
      <c r="AS96" s="39"/>
      <c r="AT96" s="29"/>
    </row>
    <row r="97" spans="1:46" s="22" customFormat="1" ht="30" customHeight="1">
      <c r="A97" s="36"/>
      <c r="B97" s="28"/>
      <c r="C97" s="32" t="s">
        <v>319</v>
      </c>
      <c r="D97" s="29" t="s">
        <v>320</v>
      </c>
      <c r="E97" s="56">
        <v>46169</v>
      </c>
      <c r="F97" s="56"/>
      <c r="G97" s="37"/>
      <c r="H97" s="60"/>
      <c r="I97" s="60"/>
      <c r="J97" s="60"/>
      <c r="K97" s="60"/>
      <c r="L97" s="60"/>
      <c r="M97" s="60"/>
      <c r="N97" s="60"/>
      <c r="O97" s="60"/>
      <c r="P97" s="59"/>
      <c r="Q97" s="59"/>
      <c r="R97" s="59"/>
      <c r="S97" s="59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40">
        <f t="shared" si="12"/>
        <v>0</v>
      </c>
      <c r="AK97" s="40">
        <f t="shared" si="13"/>
        <v>0</v>
      </c>
      <c r="AL97" s="40">
        <f t="shared" si="14"/>
        <v>0</v>
      </c>
      <c r="AM97" s="40">
        <f t="shared" si="15"/>
        <v>0</v>
      </c>
      <c r="AN97" s="38">
        <f t="shared" si="16"/>
        <v>0</v>
      </c>
      <c r="AO97" s="38">
        <f t="shared" si="16"/>
        <v>0</v>
      </c>
      <c r="AP97" s="38">
        <f t="shared" si="16"/>
        <v>0</v>
      </c>
      <c r="AQ97" s="38">
        <f t="shared" si="16"/>
        <v>0</v>
      </c>
      <c r="AR97" s="39"/>
      <c r="AS97" s="39"/>
      <c r="AT97" s="29"/>
    </row>
    <row r="98" spans="1:46" s="22" customFormat="1" ht="30" customHeight="1">
      <c r="A98" s="36"/>
      <c r="B98" s="28"/>
      <c r="C98" s="32" t="s">
        <v>321</v>
      </c>
      <c r="D98" s="29" t="s">
        <v>322</v>
      </c>
      <c r="E98" s="56">
        <v>46169</v>
      </c>
      <c r="F98" s="56"/>
      <c r="G98" s="37"/>
      <c r="H98" s="60"/>
      <c r="I98" s="60"/>
      <c r="J98" s="60"/>
      <c r="K98" s="60"/>
      <c r="L98" s="60"/>
      <c r="M98" s="60"/>
      <c r="N98" s="60"/>
      <c r="O98" s="60"/>
      <c r="P98" s="59"/>
      <c r="Q98" s="59"/>
      <c r="R98" s="59"/>
      <c r="S98" s="59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40">
        <f t="shared" si="12"/>
        <v>0</v>
      </c>
      <c r="AK98" s="40">
        <f t="shared" si="13"/>
        <v>0</v>
      </c>
      <c r="AL98" s="40">
        <f t="shared" si="14"/>
        <v>0</v>
      </c>
      <c r="AM98" s="40">
        <f t="shared" si="15"/>
        <v>0</v>
      </c>
      <c r="AN98" s="38">
        <f t="shared" si="16"/>
        <v>0</v>
      </c>
      <c r="AO98" s="38">
        <f t="shared" si="16"/>
        <v>0</v>
      </c>
      <c r="AP98" s="38">
        <f t="shared" si="16"/>
        <v>0</v>
      </c>
      <c r="AQ98" s="38">
        <f t="shared" si="16"/>
        <v>0</v>
      </c>
      <c r="AR98" s="39"/>
      <c r="AS98" s="39"/>
      <c r="AT98" s="29"/>
    </row>
    <row r="99" spans="1:46" s="22" customFormat="1" ht="30" customHeight="1">
      <c r="A99" s="36"/>
      <c r="B99" s="28"/>
      <c r="C99" s="32" t="s">
        <v>323</v>
      </c>
      <c r="D99" s="29" t="s">
        <v>229</v>
      </c>
      <c r="E99" s="56">
        <v>46169</v>
      </c>
      <c r="F99" s="56"/>
      <c r="G99" s="37"/>
      <c r="H99" s="60"/>
      <c r="I99" s="60"/>
      <c r="J99" s="60"/>
      <c r="K99" s="60"/>
      <c r="L99" s="60"/>
      <c r="M99" s="60"/>
      <c r="N99" s="60"/>
      <c r="O99" s="60"/>
      <c r="P99" s="59"/>
      <c r="Q99" s="59"/>
      <c r="R99" s="59"/>
      <c r="S99" s="59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40">
        <f t="shared" si="12"/>
        <v>0</v>
      </c>
      <c r="AK99" s="40">
        <f t="shared" si="13"/>
        <v>0</v>
      </c>
      <c r="AL99" s="40">
        <f t="shared" si="14"/>
        <v>0</v>
      </c>
      <c r="AM99" s="40">
        <f t="shared" si="15"/>
        <v>0</v>
      </c>
      <c r="AN99" s="38">
        <f t="shared" si="16"/>
        <v>0</v>
      </c>
      <c r="AO99" s="38">
        <f t="shared" si="16"/>
        <v>0</v>
      </c>
      <c r="AP99" s="38">
        <f t="shared" si="16"/>
        <v>0</v>
      </c>
      <c r="AQ99" s="38">
        <f t="shared" si="16"/>
        <v>0</v>
      </c>
      <c r="AR99" s="39"/>
      <c r="AS99" s="39"/>
      <c r="AT99" s="29"/>
    </row>
    <row r="100" spans="1:46" s="22" customFormat="1" ht="30" customHeight="1">
      <c r="A100" s="36"/>
      <c r="B100" s="28"/>
      <c r="C100" s="32"/>
      <c r="D100" s="29"/>
      <c r="E100" s="56"/>
      <c r="F100" s="56"/>
      <c r="G100" s="37"/>
      <c r="H100" s="60"/>
      <c r="I100" s="60"/>
      <c r="J100" s="60"/>
      <c r="K100" s="60"/>
      <c r="L100" s="60"/>
      <c r="M100" s="60"/>
      <c r="N100" s="60"/>
      <c r="O100" s="60"/>
      <c r="P100" s="59"/>
      <c r="Q100" s="59"/>
      <c r="R100" s="59"/>
      <c r="S100" s="59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40">
        <f t="shared" si="12"/>
        <v>0</v>
      </c>
      <c r="AK100" s="40">
        <f t="shared" si="13"/>
        <v>0</v>
      </c>
      <c r="AL100" s="40">
        <f t="shared" si="14"/>
        <v>0</v>
      </c>
      <c r="AM100" s="40">
        <f t="shared" si="15"/>
        <v>0</v>
      </c>
      <c r="AN100" s="38">
        <f t="shared" si="16"/>
        <v>0</v>
      </c>
      <c r="AO100" s="38">
        <f t="shared" si="16"/>
        <v>0</v>
      </c>
      <c r="AP100" s="38">
        <f t="shared" si="16"/>
        <v>0</v>
      </c>
      <c r="AQ100" s="38">
        <f t="shared" si="16"/>
        <v>0</v>
      </c>
      <c r="AR100" s="39"/>
      <c r="AS100" s="39"/>
      <c r="AT100" s="29"/>
    </row>
    <row r="101" spans="1:46" s="22" customFormat="1" ht="30" customHeight="1">
      <c r="A101" s="36"/>
      <c r="B101" s="28"/>
      <c r="C101" s="32"/>
      <c r="D101" s="29"/>
      <c r="E101" s="56"/>
      <c r="F101" s="56"/>
      <c r="G101" s="37"/>
      <c r="H101" s="60"/>
      <c r="I101" s="60"/>
      <c r="J101" s="60"/>
      <c r="K101" s="60"/>
      <c r="L101" s="60"/>
      <c r="M101" s="60"/>
      <c r="N101" s="60"/>
      <c r="O101" s="60"/>
      <c r="P101" s="59"/>
      <c r="Q101" s="59"/>
      <c r="R101" s="59"/>
      <c r="S101" s="59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40">
        <f t="shared" si="12"/>
        <v>0</v>
      </c>
      <c r="AK101" s="40">
        <f t="shared" si="13"/>
        <v>0</v>
      </c>
      <c r="AL101" s="40">
        <f t="shared" si="14"/>
        <v>0</v>
      </c>
      <c r="AM101" s="40">
        <f t="shared" si="15"/>
        <v>0</v>
      </c>
      <c r="AN101" s="38">
        <f t="shared" si="16"/>
        <v>0</v>
      </c>
      <c r="AO101" s="38">
        <f t="shared" si="16"/>
        <v>0</v>
      </c>
      <c r="AP101" s="38">
        <f t="shared" si="16"/>
        <v>0</v>
      </c>
      <c r="AQ101" s="38">
        <f t="shared" si="16"/>
        <v>0</v>
      </c>
      <c r="AR101" s="39"/>
      <c r="AS101" s="39"/>
      <c r="AT101" s="29"/>
    </row>
    <row r="102" spans="1:46" s="22" customFormat="1" ht="30" customHeight="1">
      <c r="A102" s="36"/>
      <c r="B102" s="28"/>
      <c r="C102" s="32"/>
      <c r="D102" s="29"/>
      <c r="E102" s="56"/>
      <c r="F102" s="56"/>
      <c r="G102" s="37"/>
      <c r="H102" s="60"/>
      <c r="I102" s="60"/>
      <c r="J102" s="60"/>
      <c r="K102" s="60"/>
      <c r="L102" s="60"/>
      <c r="M102" s="60"/>
      <c r="N102" s="60"/>
      <c r="O102" s="60"/>
      <c r="P102" s="59"/>
      <c r="Q102" s="59"/>
      <c r="R102" s="59"/>
      <c r="S102" s="59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40">
        <f t="shared" si="12"/>
        <v>0</v>
      </c>
      <c r="AK102" s="40">
        <f t="shared" si="13"/>
        <v>0</v>
      </c>
      <c r="AL102" s="40">
        <f t="shared" si="14"/>
        <v>0</v>
      </c>
      <c r="AM102" s="40">
        <f t="shared" si="15"/>
        <v>0</v>
      </c>
      <c r="AN102" s="38">
        <f t="shared" si="16"/>
        <v>0</v>
      </c>
      <c r="AO102" s="38">
        <f t="shared" si="16"/>
        <v>0</v>
      </c>
      <c r="AP102" s="38">
        <f t="shared" si="16"/>
        <v>0</v>
      </c>
      <c r="AQ102" s="38">
        <f t="shared" si="16"/>
        <v>0</v>
      </c>
      <c r="AR102" s="39"/>
      <c r="AS102" s="39"/>
      <c r="AT102" s="29"/>
    </row>
    <row r="103" spans="1:46" s="22" customFormat="1" ht="30" customHeight="1">
      <c r="A103" s="36"/>
      <c r="B103" s="28"/>
      <c r="C103" s="32"/>
      <c r="D103" s="29"/>
      <c r="E103" s="56"/>
      <c r="F103" s="56"/>
      <c r="G103" s="37"/>
      <c r="H103" s="60"/>
      <c r="I103" s="60"/>
      <c r="J103" s="60"/>
      <c r="K103" s="60"/>
      <c r="L103" s="60"/>
      <c r="M103" s="60"/>
      <c r="N103" s="60"/>
      <c r="O103" s="60"/>
      <c r="P103" s="59"/>
      <c r="Q103" s="59"/>
      <c r="R103" s="59"/>
      <c r="S103" s="59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40">
        <f t="shared" si="12"/>
        <v>0</v>
      </c>
      <c r="AK103" s="40">
        <f t="shared" si="13"/>
        <v>0</v>
      </c>
      <c r="AL103" s="40">
        <f t="shared" si="14"/>
        <v>0</v>
      </c>
      <c r="AM103" s="40">
        <f t="shared" si="15"/>
        <v>0</v>
      </c>
      <c r="AN103" s="38">
        <f t="shared" si="16"/>
        <v>0</v>
      </c>
      <c r="AO103" s="38">
        <f t="shared" si="16"/>
        <v>0</v>
      </c>
      <c r="AP103" s="38">
        <f t="shared" si="16"/>
        <v>0</v>
      </c>
      <c r="AQ103" s="38">
        <f t="shared" si="16"/>
        <v>0</v>
      </c>
      <c r="AR103" s="39"/>
      <c r="AS103" s="39"/>
      <c r="AT103" s="29"/>
    </row>
    <row r="104" spans="1:46" s="22" customFormat="1" ht="30" customHeight="1">
      <c r="A104" s="36"/>
      <c r="B104" s="28"/>
      <c r="C104" s="32"/>
      <c r="D104" s="29"/>
      <c r="E104" s="56"/>
      <c r="F104" s="56"/>
      <c r="G104" s="37"/>
      <c r="H104" s="60"/>
      <c r="I104" s="60"/>
      <c r="J104" s="60"/>
      <c r="K104" s="60"/>
      <c r="L104" s="60"/>
      <c r="M104" s="60"/>
      <c r="N104" s="60"/>
      <c r="O104" s="60"/>
      <c r="P104" s="59"/>
      <c r="Q104" s="59"/>
      <c r="R104" s="59"/>
      <c r="S104" s="59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40">
        <f t="shared" si="12"/>
        <v>0</v>
      </c>
      <c r="AK104" s="40">
        <f t="shared" si="13"/>
        <v>0</v>
      </c>
      <c r="AL104" s="40">
        <f t="shared" si="14"/>
        <v>0</v>
      </c>
      <c r="AM104" s="40">
        <f t="shared" si="15"/>
        <v>0</v>
      </c>
      <c r="AN104" s="38">
        <f t="shared" si="16"/>
        <v>0</v>
      </c>
      <c r="AO104" s="38">
        <f t="shared" si="16"/>
        <v>0</v>
      </c>
      <c r="AP104" s="38">
        <f t="shared" si="16"/>
        <v>0</v>
      </c>
      <c r="AQ104" s="38">
        <f t="shared" si="16"/>
        <v>0</v>
      </c>
      <c r="AR104" s="39"/>
      <c r="AS104" s="39"/>
      <c r="AT104" s="29"/>
    </row>
    <row r="105" spans="1:46" s="22" customFormat="1" ht="30" customHeight="1">
      <c r="A105" s="36"/>
      <c r="B105" s="28"/>
      <c r="C105" s="32"/>
      <c r="D105" s="29"/>
      <c r="E105" s="56"/>
      <c r="F105" s="56"/>
      <c r="G105" s="37"/>
      <c r="H105" s="60"/>
      <c r="I105" s="60"/>
      <c r="J105" s="60"/>
      <c r="K105" s="60"/>
      <c r="L105" s="60"/>
      <c r="M105" s="60"/>
      <c r="N105" s="60"/>
      <c r="O105" s="60"/>
      <c r="P105" s="59"/>
      <c r="Q105" s="59"/>
      <c r="R105" s="59"/>
      <c r="S105" s="59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40">
        <f t="shared" si="12"/>
        <v>0</v>
      </c>
      <c r="AK105" s="40">
        <f t="shared" si="13"/>
        <v>0</v>
      </c>
      <c r="AL105" s="40">
        <f t="shared" si="14"/>
        <v>0</v>
      </c>
      <c r="AM105" s="40">
        <f t="shared" si="15"/>
        <v>0</v>
      </c>
      <c r="AN105" s="38">
        <f t="shared" si="16"/>
        <v>0</v>
      </c>
      <c r="AO105" s="38">
        <f t="shared" si="16"/>
        <v>0</v>
      </c>
      <c r="AP105" s="38">
        <f t="shared" si="16"/>
        <v>0</v>
      </c>
      <c r="AQ105" s="38">
        <f t="shared" si="16"/>
        <v>0</v>
      </c>
      <c r="AR105" s="39"/>
      <c r="AS105" s="39"/>
      <c r="AT105" s="29"/>
    </row>
    <row r="106" spans="1:46" s="22" customFormat="1" ht="30" customHeight="1">
      <c r="A106" s="36"/>
      <c r="B106" s="28"/>
      <c r="C106" s="32"/>
      <c r="D106" s="29"/>
      <c r="E106" s="56"/>
      <c r="F106" s="56"/>
      <c r="G106" s="37"/>
      <c r="H106" s="60"/>
      <c r="I106" s="60"/>
      <c r="J106" s="60"/>
      <c r="K106" s="60"/>
      <c r="L106" s="60"/>
      <c r="M106" s="60"/>
      <c r="N106" s="60"/>
      <c r="O106" s="60"/>
      <c r="P106" s="59"/>
      <c r="Q106" s="59"/>
      <c r="R106" s="59"/>
      <c r="S106" s="59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40">
        <f t="shared" si="12"/>
        <v>0</v>
      </c>
      <c r="AK106" s="40">
        <f t="shared" si="13"/>
        <v>0</v>
      </c>
      <c r="AL106" s="40">
        <f t="shared" si="14"/>
        <v>0</v>
      </c>
      <c r="AM106" s="40">
        <f t="shared" si="15"/>
        <v>0</v>
      </c>
      <c r="AN106" s="38">
        <f t="shared" si="16"/>
        <v>0</v>
      </c>
      <c r="AO106" s="38">
        <f t="shared" si="16"/>
        <v>0</v>
      </c>
      <c r="AP106" s="38">
        <f t="shared" si="16"/>
        <v>0</v>
      </c>
      <c r="AQ106" s="38">
        <f t="shared" si="16"/>
        <v>0</v>
      </c>
      <c r="AR106" s="39"/>
      <c r="AS106" s="39"/>
      <c r="AT106" s="29"/>
    </row>
    <row r="107" spans="1:46" s="22" customFormat="1" ht="30" customHeight="1">
      <c r="A107" s="36"/>
      <c r="B107" s="28"/>
      <c r="C107" s="32"/>
      <c r="D107" s="29"/>
      <c r="E107" s="56"/>
      <c r="F107" s="56"/>
      <c r="G107" s="37"/>
      <c r="H107" s="60"/>
      <c r="I107" s="60"/>
      <c r="J107" s="60"/>
      <c r="K107" s="60"/>
      <c r="L107" s="60"/>
      <c r="M107" s="60"/>
      <c r="N107" s="60"/>
      <c r="O107" s="60"/>
      <c r="P107" s="59"/>
      <c r="Q107" s="59"/>
      <c r="R107" s="59"/>
      <c r="S107" s="59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40">
        <f t="shared" si="12"/>
        <v>0</v>
      </c>
      <c r="AK107" s="40">
        <f t="shared" si="13"/>
        <v>0</v>
      </c>
      <c r="AL107" s="40">
        <f t="shared" si="14"/>
        <v>0</v>
      </c>
      <c r="AM107" s="40">
        <f t="shared" si="15"/>
        <v>0</v>
      </c>
      <c r="AN107" s="38">
        <f t="shared" si="16"/>
        <v>0</v>
      </c>
      <c r="AO107" s="38">
        <f t="shared" si="16"/>
        <v>0</v>
      </c>
      <c r="AP107" s="38">
        <f t="shared" si="16"/>
        <v>0</v>
      </c>
      <c r="AQ107" s="38">
        <f t="shared" si="16"/>
        <v>0</v>
      </c>
      <c r="AR107" s="39"/>
      <c r="AS107" s="39"/>
      <c r="AT107" s="29"/>
    </row>
    <row r="108" spans="1:46" s="22" customFormat="1" ht="30" customHeight="1">
      <c r="A108" s="36"/>
      <c r="B108" s="28"/>
      <c r="C108" s="32"/>
      <c r="D108" s="29"/>
      <c r="E108" s="56"/>
      <c r="F108" s="56"/>
      <c r="G108" s="37"/>
      <c r="H108" s="60"/>
      <c r="I108" s="60"/>
      <c r="J108" s="60"/>
      <c r="K108" s="60"/>
      <c r="L108" s="60"/>
      <c r="M108" s="60"/>
      <c r="N108" s="60"/>
      <c r="O108" s="60"/>
      <c r="P108" s="59"/>
      <c r="Q108" s="59"/>
      <c r="R108" s="59"/>
      <c r="S108" s="59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40">
        <f t="shared" ref="AJ108:AJ119" si="17">SUMIF($H$11:$AI$11,$AJ$11,H108:AI108)</f>
        <v>0</v>
      </c>
      <c r="AK108" s="40">
        <f t="shared" ref="AK108:AK119" si="18">SUMIF($H$11:$AI$11,$AK$11,H108:AI108)</f>
        <v>0</v>
      </c>
      <c r="AL108" s="40">
        <f t="shared" ref="AL108:AL119" si="19">SUMIF($H$11:$AI$11,$AL$11,H108:AI108)</f>
        <v>0</v>
      </c>
      <c r="AM108" s="40">
        <f t="shared" ref="AM108:AM119" si="20">SUMIF($H$11:$AI$11,$AM$11,H108:AI108)</f>
        <v>0</v>
      </c>
      <c r="AN108" s="38">
        <f t="shared" si="16"/>
        <v>0</v>
      </c>
      <c r="AO108" s="38">
        <f t="shared" si="16"/>
        <v>0</v>
      </c>
      <c r="AP108" s="38">
        <f t="shared" si="16"/>
        <v>0</v>
      </c>
      <c r="AQ108" s="38">
        <f t="shared" si="16"/>
        <v>0</v>
      </c>
      <c r="AR108" s="39"/>
      <c r="AS108" s="39"/>
      <c r="AT108" s="29"/>
    </row>
    <row r="109" spans="1:46" s="22" customFormat="1" ht="30" customHeight="1">
      <c r="A109" s="36"/>
      <c r="B109" s="28"/>
      <c r="C109" s="32"/>
      <c r="D109" s="29"/>
      <c r="E109" s="56"/>
      <c r="F109" s="56"/>
      <c r="G109" s="37"/>
      <c r="H109" s="60"/>
      <c r="I109" s="60"/>
      <c r="J109" s="60"/>
      <c r="K109" s="60"/>
      <c r="L109" s="60"/>
      <c r="M109" s="60"/>
      <c r="N109" s="60"/>
      <c r="O109" s="60"/>
      <c r="P109" s="59"/>
      <c r="Q109" s="59"/>
      <c r="R109" s="59"/>
      <c r="S109" s="59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40">
        <f t="shared" si="17"/>
        <v>0</v>
      </c>
      <c r="AK109" s="40">
        <f t="shared" si="18"/>
        <v>0</v>
      </c>
      <c r="AL109" s="40">
        <f t="shared" si="19"/>
        <v>0</v>
      </c>
      <c r="AM109" s="40">
        <f t="shared" si="20"/>
        <v>0</v>
      </c>
      <c r="AN109" s="38">
        <f t="shared" si="16"/>
        <v>0</v>
      </c>
      <c r="AO109" s="38">
        <f t="shared" si="16"/>
        <v>0</v>
      </c>
      <c r="AP109" s="38">
        <f t="shared" si="16"/>
        <v>0</v>
      </c>
      <c r="AQ109" s="38">
        <f t="shared" si="16"/>
        <v>0</v>
      </c>
      <c r="AR109" s="39"/>
      <c r="AS109" s="39"/>
      <c r="AT109" s="29"/>
    </row>
    <row r="110" spans="1:46" s="22" customFormat="1" ht="30" customHeight="1">
      <c r="A110" s="36"/>
      <c r="B110" s="28"/>
      <c r="C110" s="32"/>
      <c r="D110" s="29"/>
      <c r="E110" s="56"/>
      <c r="F110" s="56"/>
      <c r="G110" s="37"/>
      <c r="H110" s="60"/>
      <c r="I110" s="60"/>
      <c r="J110" s="60"/>
      <c r="K110" s="60"/>
      <c r="L110" s="60"/>
      <c r="M110" s="60"/>
      <c r="N110" s="60"/>
      <c r="O110" s="60"/>
      <c r="P110" s="59"/>
      <c r="Q110" s="59"/>
      <c r="R110" s="59"/>
      <c r="S110" s="59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40">
        <f t="shared" si="17"/>
        <v>0</v>
      </c>
      <c r="AK110" s="40">
        <f t="shared" si="18"/>
        <v>0</v>
      </c>
      <c r="AL110" s="40">
        <f t="shared" si="19"/>
        <v>0</v>
      </c>
      <c r="AM110" s="40">
        <f t="shared" si="20"/>
        <v>0</v>
      </c>
      <c r="AN110" s="38">
        <f t="shared" si="16"/>
        <v>0</v>
      </c>
      <c r="AO110" s="38">
        <f t="shared" si="16"/>
        <v>0</v>
      </c>
      <c r="AP110" s="38">
        <f t="shared" si="16"/>
        <v>0</v>
      </c>
      <c r="AQ110" s="38">
        <f t="shared" si="16"/>
        <v>0</v>
      </c>
      <c r="AR110" s="39"/>
      <c r="AS110" s="39"/>
      <c r="AT110" s="29"/>
    </row>
    <row r="111" spans="1:46" s="22" customFormat="1" ht="30" customHeight="1">
      <c r="A111" s="36"/>
      <c r="B111" s="28"/>
      <c r="C111" s="32"/>
      <c r="D111" s="29"/>
      <c r="E111" s="56"/>
      <c r="F111" s="56"/>
      <c r="G111" s="37"/>
      <c r="H111" s="60"/>
      <c r="I111" s="60"/>
      <c r="J111" s="60"/>
      <c r="K111" s="60"/>
      <c r="L111" s="60"/>
      <c r="M111" s="60"/>
      <c r="N111" s="60"/>
      <c r="O111" s="60"/>
      <c r="P111" s="59"/>
      <c r="Q111" s="59"/>
      <c r="R111" s="59"/>
      <c r="S111" s="59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40">
        <f t="shared" si="17"/>
        <v>0</v>
      </c>
      <c r="AK111" s="40">
        <f t="shared" si="18"/>
        <v>0</v>
      </c>
      <c r="AL111" s="40">
        <f t="shared" si="19"/>
        <v>0</v>
      </c>
      <c r="AM111" s="40">
        <f t="shared" si="20"/>
        <v>0</v>
      </c>
      <c r="AN111" s="38">
        <f t="shared" si="16"/>
        <v>0</v>
      </c>
      <c r="AO111" s="38">
        <f t="shared" si="16"/>
        <v>0</v>
      </c>
      <c r="AP111" s="38">
        <f t="shared" si="16"/>
        <v>0</v>
      </c>
      <c r="AQ111" s="38">
        <f t="shared" si="16"/>
        <v>0</v>
      </c>
      <c r="AR111" s="39"/>
      <c r="AS111" s="39"/>
      <c r="AT111" s="29"/>
    </row>
    <row r="112" spans="1:46" s="22" customFormat="1" ht="30" customHeight="1">
      <c r="A112" s="36"/>
      <c r="B112" s="28"/>
      <c r="C112" s="32"/>
      <c r="D112" s="29"/>
      <c r="E112" s="56"/>
      <c r="F112" s="56"/>
      <c r="G112" s="37"/>
      <c r="H112" s="60"/>
      <c r="I112" s="60"/>
      <c r="J112" s="60"/>
      <c r="K112" s="60"/>
      <c r="L112" s="60"/>
      <c r="M112" s="60"/>
      <c r="N112" s="60"/>
      <c r="O112" s="60"/>
      <c r="P112" s="59"/>
      <c r="Q112" s="59"/>
      <c r="R112" s="59"/>
      <c r="S112" s="59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40">
        <f t="shared" si="17"/>
        <v>0</v>
      </c>
      <c r="AK112" s="40">
        <f t="shared" si="18"/>
        <v>0</v>
      </c>
      <c r="AL112" s="40">
        <f t="shared" si="19"/>
        <v>0</v>
      </c>
      <c r="AM112" s="40">
        <f t="shared" si="20"/>
        <v>0</v>
      </c>
      <c r="AN112" s="38">
        <f t="shared" ref="AN112:AQ119" si="21">SUMIF($H$11:$AI$11,AN$11,$H112:$AI112)</f>
        <v>0</v>
      </c>
      <c r="AO112" s="38">
        <f t="shared" si="21"/>
        <v>0</v>
      </c>
      <c r="AP112" s="38">
        <f t="shared" si="21"/>
        <v>0</v>
      </c>
      <c r="AQ112" s="38">
        <f t="shared" si="21"/>
        <v>0</v>
      </c>
      <c r="AR112" s="39"/>
      <c r="AS112" s="39"/>
      <c r="AT112" s="29"/>
    </row>
    <row r="113" spans="1:46" s="22" customFormat="1" ht="30" customHeight="1">
      <c r="A113" s="36"/>
      <c r="B113" s="28"/>
      <c r="C113" s="32"/>
      <c r="D113" s="29"/>
      <c r="E113" s="56"/>
      <c r="F113" s="56"/>
      <c r="G113" s="37"/>
      <c r="H113" s="60"/>
      <c r="I113" s="60"/>
      <c r="J113" s="60"/>
      <c r="K113" s="60"/>
      <c r="L113" s="60"/>
      <c r="M113" s="60"/>
      <c r="N113" s="60"/>
      <c r="O113" s="60"/>
      <c r="P113" s="59"/>
      <c r="Q113" s="59"/>
      <c r="R113" s="59"/>
      <c r="S113" s="59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40">
        <f t="shared" si="17"/>
        <v>0</v>
      </c>
      <c r="AK113" s="40">
        <f t="shared" si="18"/>
        <v>0</v>
      </c>
      <c r="AL113" s="40">
        <f t="shared" si="19"/>
        <v>0</v>
      </c>
      <c r="AM113" s="40">
        <f t="shared" si="20"/>
        <v>0</v>
      </c>
      <c r="AN113" s="38">
        <f t="shared" si="21"/>
        <v>0</v>
      </c>
      <c r="AO113" s="38">
        <f t="shared" si="21"/>
        <v>0</v>
      </c>
      <c r="AP113" s="38">
        <f t="shared" si="21"/>
        <v>0</v>
      </c>
      <c r="AQ113" s="38">
        <f t="shared" si="21"/>
        <v>0</v>
      </c>
      <c r="AR113" s="39"/>
      <c r="AS113" s="39"/>
      <c r="AT113" s="29"/>
    </row>
    <row r="114" spans="1:46" s="22" customFormat="1" ht="30" customHeight="1">
      <c r="A114" s="36"/>
      <c r="B114" s="28"/>
      <c r="C114" s="32"/>
      <c r="D114" s="29"/>
      <c r="E114" s="56"/>
      <c r="F114" s="56"/>
      <c r="G114" s="37"/>
      <c r="H114" s="61"/>
      <c r="I114" s="61"/>
      <c r="J114" s="61"/>
      <c r="K114" s="61"/>
      <c r="L114" s="61"/>
      <c r="M114" s="61"/>
      <c r="N114" s="61"/>
      <c r="O114" s="61"/>
      <c r="P114" s="59"/>
      <c r="Q114" s="59"/>
      <c r="R114" s="59"/>
      <c r="S114" s="59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40">
        <f t="shared" si="17"/>
        <v>0</v>
      </c>
      <c r="AK114" s="40">
        <f t="shared" si="18"/>
        <v>0</v>
      </c>
      <c r="AL114" s="40">
        <f t="shared" si="19"/>
        <v>0</v>
      </c>
      <c r="AM114" s="40">
        <f t="shared" si="20"/>
        <v>0</v>
      </c>
      <c r="AN114" s="38">
        <f t="shared" si="21"/>
        <v>0</v>
      </c>
      <c r="AO114" s="38">
        <f t="shared" si="21"/>
        <v>0</v>
      </c>
      <c r="AP114" s="38">
        <f t="shared" si="21"/>
        <v>0</v>
      </c>
      <c r="AQ114" s="38">
        <f t="shared" si="21"/>
        <v>0</v>
      </c>
      <c r="AR114" s="39"/>
      <c r="AS114" s="39"/>
      <c r="AT114" s="29"/>
    </row>
    <row r="115" spans="1:46" s="22" customFormat="1" ht="30" customHeight="1">
      <c r="A115" s="36"/>
      <c r="B115" s="28"/>
      <c r="C115" s="32"/>
      <c r="D115" s="29"/>
      <c r="E115" s="56"/>
      <c r="F115" s="56"/>
      <c r="G115" s="37"/>
      <c r="H115" s="61"/>
      <c r="I115" s="61"/>
      <c r="J115" s="61"/>
      <c r="K115" s="61"/>
      <c r="L115" s="61"/>
      <c r="M115" s="61"/>
      <c r="N115" s="61"/>
      <c r="O115" s="61"/>
      <c r="P115" s="59"/>
      <c r="Q115" s="59"/>
      <c r="R115" s="59"/>
      <c r="S115" s="59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40">
        <f t="shared" si="17"/>
        <v>0</v>
      </c>
      <c r="AK115" s="40">
        <f t="shared" si="18"/>
        <v>0</v>
      </c>
      <c r="AL115" s="40">
        <f t="shared" si="19"/>
        <v>0</v>
      </c>
      <c r="AM115" s="40">
        <f t="shared" si="20"/>
        <v>0</v>
      </c>
      <c r="AN115" s="38">
        <f t="shared" si="21"/>
        <v>0</v>
      </c>
      <c r="AO115" s="38">
        <f t="shared" si="21"/>
        <v>0</v>
      </c>
      <c r="AP115" s="38">
        <f t="shared" si="21"/>
        <v>0</v>
      </c>
      <c r="AQ115" s="38">
        <f t="shared" si="21"/>
        <v>0</v>
      </c>
      <c r="AR115" s="39"/>
      <c r="AS115" s="39"/>
      <c r="AT115" s="29"/>
    </row>
    <row r="116" spans="1:46" s="22" customFormat="1" ht="30" customHeight="1">
      <c r="A116" s="36"/>
      <c r="B116" s="28"/>
      <c r="C116" s="32"/>
      <c r="D116" s="29"/>
      <c r="E116" s="56"/>
      <c r="F116" s="56"/>
      <c r="G116" s="37"/>
      <c r="H116" s="61"/>
      <c r="I116" s="61"/>
      <c r="J116" s="61"/>
      <c r="K116" s="61"/>
      <c r="L116" s="61"/>
      <c r="M116" s="61"/>
      <c r="N116" s="61"/>
      <c r="O116" s="61"/>
      <c r="P116" s="59"/>
      <c r="Q116" s="59"/>
      <c r="R116" s="59"/>
      <c r="S116" s="59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40">
        <f t="shared" si="17"/>
        <v>0</v>
      </c>
      <c r="AK116" s="40">
        <f t="shared" si="18"/>
        <v>0</v>
      </c>
      <c r="AL116" s="40">
        <f t="shared" si="19"/>
        <v>0</v>
      </c>
      <c r="AM116" s="40">
        <f t="shared" si="20"/>
        <v>0</v>
      </c>
      <c r="AN116" s="38">
        <f t="shared" si="21"/>
        <v>0</v>
      </c>
      <c r="AO116" s="38">
        <f t="shared" si="21"/>
        <v>0</v>
      </c>
      <c r="AP116" s="38">
        <f t="shared" si="21"/>
        <v>0</v>
      </c>
      <c r="AQ116" s="38">
        <f t="shared" si="21"/>
        <v>0</v>
      </c>
      <c r="AR116" s="39"/>
      <c r="AS116" s="39"/>
      <c r="AT116" s="29"/>
    </row>
    <row r="117" spans="1:46" s="22" customFormat="1" ht="30" customHeight="1">
      <c r="A117" s="36"/>
      <c r="B117" s="28"/>
      <c r="C117" s="32"/>
      <c r="D117" s="29"/>
      <c r="E117" s="56"/>
      <c r="F117" s="56"/>
      <c r="G117" s="37"/>
      <c r="H117" s="61"/>
      <c r="I117" s="61"/>
      <c r="J117" s="61"/>
      <c r="K117" s="61"/>
      <c r="L117" s="61"/>
      <c r="M117" s="61"/>
      <c r="N117" s="61"/>
      <c r="O117" s="61"/>
      <c r="P117" s="59"/>
      <c r="Q117" s="59"/>
      <c r="R117" s="59"/>
      <c r="S117" s="59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40">
        <f t="shared" si="17"/>
        <v>0</v>
      </c>
      <c r="AK117" s="40">
        <f t="shared" si="18"/>
        <v>0</v>
      </c>
      <c r="AL117" s="40">
        <f t="shared" si="19"/>
        <v>0</v>
      </c>
      <c r="AM117" s="40">
        <f t="shared" si="20"/>
        <v>0</v>
      </c>
      <c r="AN117" s="38">
        <f t="shared" si="21"/>
        <v>0</v>
      </c>
      <c r="AO117" s="38">
        <f t="shared" si="21"/>
        <v>0</v>
      </c>
      <c r="AP117" s="38">
        <f t="shared" si="21"/>
        <v>0</v>
      </c>
      <c r="AQ117" s="38">
        <f t="shared" si="21"/>
        <v>0</v>
      </c>
      <c r="AR117" s="39"/>
      <c r="AS117" s="39"/>
      <c r="AT117" s="29"/>
    </row>
    <row r="118" spans="1:46" s="22" customFormat="1" ht="30" customHeight="1">
      <c r="A118" s="36"/>
      <c r="B118" s="28"/>
      <c r="C118" s="32"/>
      <c r="D118" s="29"/>
      <c r="E118" s="56"/>
      <c r="F118" s="56"/>
      <c r="G118" s="37"/>
      <c r="H118" s="61"/>
      <c r="I118" s="61"/>
      <c r="J118" s="61"/>
      <c r="K118" s="61"/>
      <c r="L118" s="61"/>
      <c r="M118" s="61"/>
      <c r="N118" s="61"/>
      <c r="O118" s="61"/>
      <c r="P118" s="59"/>
      <c r="Q118" s="59"/>
      <c r="R118" s="59"/>
      <c r="S118" s="59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40">
        <f t="shared" si="17"/>
        <v>0</v>
      </c>
      <c r="AK118" s="40">
        <f t="shared" si="18"/>
        <v>0</v>
      </c>
      <c r="AL118" s="40">
        <f t="shared" si="19"/>
        <v>0</v>
      </c>
      <c r="AM118" s="40">
        <f t="shared" si="20"/>
        <v>0</v>
      </c>
      <c r="AN118" s="38">
        <f t="shared" si="21"/>
        <v>0</v>
      </c>
      <c r="AO118" s="38">
        <f t="shared" si="21"/>
        <v>0</v>
      </c>
      <c r="AP118" s="38">
        <f t="shared" si="21"/>
        <v>0</v>
      </c>
      <c r="AQ118" s="38">
        <f t="shared" si="21"/>
        <v>0</v>
      </c>
      <c r="AR118" s="39"/>
      <c r="AS118" s="39"/>
      <c r="AT118" s="29"/>
    </row>
    <row r="119" spans="1:46" s="22" customFormat="1" ht="30" customHeight="1">
      <c r="A119" s="36"/>
      <c r="B119" s="28"/>
      <c r="C119" s="32"/>
      <c r="D119" s="29"/>
      <c r="E119" s="56"/>
      <c r="F119" s="56"/>
      <c r="G119" s="37"/>
      <c r="H119" s="61"/>
      <c r="I119" s="61"/>
      <c r="J119" s="61"/>
      <c r="K119" s="61"/>
      <c r="L119" s="61"/>
      <c r="M119" s="61"/>
      <c r="N119" s="61"/>
      <c r="O119" s="61"/>
      <c r="P119" s="59"/>
      <c r="Q119" s="59"/>
      <c r="R119" s="59"/>
      <c r="S119" s="59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40">
        <f t="shared" si="17"/>
        <v>0</v>
      </c>
      <c r="AK119" s="40">
        <f t="shared" si="18"/>
        <v>0</v>
      </c>
      <c r="AL119" s="40">
        <f t="shared" si="19"/>
        <v>0</v>
      </c>
      <c r="AM119" s="40">
        <f t="shared" si="20"/>
        <v>0</v>
      </c>
      <c r="AN119" s="38">
        <f t="shared" si="21"/>
        <v>0</v>
      </c>
      <c r="AO119" s="38">
        <f t="shared" si="21"/>
        <v>0</v>
      </c>
      <c r="AP119" s="38">
        <f t="shared" si="21"/>
        <v>0</v>
      </c>
      <c r="AQ119" s="38">
        <f t="shared" si="21"/>
        <v>0</v>
      </c>
      <c r="AR119" s="39"/>
      <c r="AS119" s="39"/>
      <c r="AT119" s="29"/>
    </row>
    <row r="120" spans="1:46" s="45" customFormat="1" ht="24" customHeight="1">
      <c r="A120" s="41"/>
      <c r="B120" s="92" t="s">
        <v>1</v>
      </c>
      <c r="C120" s="93"/>
      <c r="D120" s="93"/>
      <c r="E120" s="93"/>
      <c r="F120" s="93"/>
      <c r="G120" s="94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3">
        <f t="shared" ref="AJ120:AS120" si="22">SUM(AJ12:AJ31)</f>
        <v>530</v>
      </c>
      <c r="AK120" s="43">
        <f t="shared" si="22"/>
        <v>233</v>
      </c>
      <c r="AL120" s="43">
        <f t="shared" si="22"/>
        <v>208</v>
      </c>
      <c r="AM120" s="43">
        <f t="shared" si="22"/>
        <v>50</v>
      </c>
      <c r="AN120" s="43">
        <f t="shared" si="22"/>
        <v>0</v>
      </c>
      <c r="AO120" s="43">
        <f t="shared" si="22"/>
        <v>0</v>
      </c>
      <c r="AP120" s="43">
        <f t="shared" si="22"/>
        <v>0</v>
      </c>
      <c r="AQ120" s="43">
        <f t="shared" si="22"/>
        <v>0</v>
      </c>
      <c r="AR120" s="43">
        <f t="shared" si="22"/>
        <v>0</v>
      </c>
      <c r="AS120" s="43">
        <f t="shared" si="22"/>
        <v>0</v>
      </c>
      <c r="AT120" s="44"/>
    </row>
    <row r="121" spans="1:46" ht="14.25" customHeight="1">
      <c r="AF121" s="18"/>
      <c r="AG121" s="18"/>
      <c r="AH121" s="19"/>
      <c r="AI121" s="19"/>
      <c r="AJ121" s="25"/>
      <c r="AK121" s="25"/>
      <c r="AL121" s="25"/>
      <c r="AM121" s="25"/>
      <c r="AN121" s="25"/>
      <c r="AO121" s="25"/>
      <c r="AP121" s="25"/>
      <c r="AQ121" s="25"/>
    </row>
  </sheetData>
  <autoFilter ref="A9:AT120" xr:uid="{00000000-0009-0000-0000-000000000000}"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26">
    <mergeCell ref="B120:G120"/>
    <mergeCell ref="X9:AA9"/>
    <mergeCell ref="P8:S8"/>
    <mergeCell ref="E8:E11"/>
    <mergeCell ref="A8:A11"/>
    <mergeCell ref="F8:F11"/>
    <mergeCell ref="H9:K9"/>
    <mergeCell ref="L9:O9"/>
    <mergeCell ref="L8:O8"/>
    <mergeCell ref="H8:K8"/>
    <mergeCell ref="A4:AK4"/>
    <mergeCell ref="B8:B11"/>
    <mergeCell ref="D8:D11"/>
    <mergeCell ref="G8:G11"/>
    <mergeCell ref="T8:W8"/>
    <mergeCell ref="X8:AA8"/>
    <mergeCell ref="AB8:AE8"/>
    <mergeCell ref="P9:S9"/>
    <mergeCell ref="T9:W9"/>
    <mergeCell ref="AJ8:AQ9"/>
    <mergeCell ref="AT8:AT11"/>
    <mergeCell ref="AF9:AI9"/>
    <mergeCell ref="Z6:AI7"/>
    <mergeCell ref="AR8:AS8"/>
    <mergeCell ref="AB9:AE9"/>
    <mergeCell ref="AF8:AI8"/>
  </mergeCells>
  <phoneticPr fontId="5" type="noConversion"/>
  <conditionalFormatting sqref="D12:F1048576 D1:F8 D9:D11">
    <cfRule type="duplicateValues" dxfId="1" priority="358"/>
  </conditionalFormatting>
  <conditionalFormatting sqref="H8:H10 L8:L10 P8:P10 T8:T10 X8:X10 AB8:AB10 AF8:AF10 H11:AQ11 H12:AE12 AG12:AI12 H13:AI120">
    <cfRule type="expression" dxfId="0" priority="372">
      <formula>IF(OR(H$11="CN",H$11="OT CN"),1,0)</formula>
    </cfRule>
  </conditionalFormatting>
  <printOptions horizontalCentered="1"/>
  <pageMargins left="0" right="0" top="0" bottom="0" header="0" footer="0"/>
  <pageSetup paperSize="8" scale="54" orientation="landscape" r:id="rId1"/>
  <colBreaks count="1" manualBreakCount="1">
    <brk id="35" max="33" man="1"/>
  </col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3" operator="containsText" id="{873DEAB1-3A72-46E7-B257-BDD2FB98699C}">
            <xm:f>NOT(ISERROR(SEARCH(#REF!,B12)))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B12:F119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opLeftCell="A13" zoomScale="60" zoomScaleNormal="60" workbookViewId="0">
      <selection activeCell="I44" sqref="I44"/>
    </sheetView>
  </sheetViews>
  <sheetFormatPr baseColWidth="10" defaultColWidth="8.6640625" defaultRowHeight="16"/>
  <cols>
    <col min="1" max="1" width="5.83203125" style="10" customWidth="1"/>
    <col min="2" max="2" width="14.83203125" style="4" customWidth="1"/>
    <col min="3" max="3" width="20.6640625" style="10" customWidth="1"/>
    <col min="4" max="4" width="17.5" style="63" customWidth="1"/>
    <col min="5" max="5" width="20" style="9" customWidth="1"/>
    <col min="6" max="6" width="28.6640625" style="10" customWidth="1"/>
    <col min="7" max="9" width="8.6640625" style="10"/>
    <col min="10" max="10" width="15.1640625" style="10" customWidth="1"/>
    <col min="11" max="11" width="19.5" style="10" customWidth="1"/>
    <col min="12" max="12" width="16.1640625" style="10" customWidth="1"/>
    <col min="13" max="13" width="17.83203125" style="10" customWidth="1"/>
    <col min="14" max="16384" width="8.6640625" style="10"/>
  </cols>
  <sheetData>
    <row r="1" spans="1:6" ht="20.25" customHeight="1">
      <c r="A1" s="107" t="s">
        <v>33</v>
      </c>
      <c r="B1" s="107"/>
      <c r="C1" s="107"/>
      <c r="D1" s="108"/>
      <c r="E1" s="107"/>
    </row>
    <row r="2" spans="1:6" ht="20.25" customHeight="1">
      <c r="A2" s="109"/>
      <c r="B2" s="109"/>
      <c r="C2" s="109"/>
      <c r="D2" s="110"/>
      <c r="E2" s="109"/>
    </row>
    <row r="3" spans="1:6" s="49" customFormat="1" ht="26.25" customHeight="1">
      <c r="A3" s="33" t="s">
        <v>4</v>
      </c>
      <c r="B3" s="34" t="s">
        <v>17</v>
      </c>
      <c r="C3" s="33" t="s">
        <v>16</v>
      </c>
      <c r="D3" s="62" t="s">
        <v>19</v>
      </c>
      <c r="E3" s="35" t="s">
        <v>18</v>
      </c>
      <c r="F3" s="46" t="s">
        <v>34</v>
      </c>
    </row>
    <row r="4" spans="1:6" s="4" customFormat="1" ht="28.5" customHeight="1">
      <c r="A4" s="2">
        <v>1</v>
      </c>
      <c r="B4" s="3" t="s">
        <v>38</v>
      </c>
      <c r="C4" s="6" t="s">
        <v>37</v>
      </c>
      <c r="D4" s="6" t="s">
        <v>40</v>
      </c>
      <c r="E4" s="5" t="s">
        <v>32</v>
      </c>
      <c r="F4" s="51"/>
    </row>
    <row r="5" spans="1:6" s="4" customFormat="1" ht="28.5" customHeight="1">
      <c r="A5" s="2">
        <v>2</v>
      </c>
      <c r="B5" s="3" t="s">
        <v>41</v>
      </c>
      <c r="C5" s="6" t="s">
        <v>42</v>
      </c>
      <c r="D5" s="6" t="s">
        <v>52</v>
      </c>
      <c r="E5" s="5" t="s">
        <v>36</v>
      </c>
      <c r="F5" s="51"/>
    </row>
    <row r="6" spans="1:6" s="4" customFormat="1" ht="28.5" customHeight="1">
      <c r="A6" s="2">
        <v>4</v>
      </c>
      <c r="B6" s="3" t="s">
        <v>45</v>
      </c>
      <c r="C6" s="48" t="s">
        <v>44</v>
      </c>
      <c r="D6" s="6" t="s">
        <v>53</v>
      </c>
      <c r="E6" s="5" t="s">
        <v>36</v>
      </c>
      <c r="F6" s="2"/>
    </row>
    <row r="7" spans="1:6" s="4" customFormat="1" ht="28.5" customHeight="1">
      <c r="A7" s="2">
        <v>5</v>
      </c>
      <c r="B7" s="3" t="s">
        <v>47</v>
      </c>
      <c r="C7" s="48" t="s">
        <v>48</v>
      </c>
      <c r="D7" s="6" t="s">
        <v>51</v>
      </c>
      <c r="E7" s="5" t="s">
        <v>36</v>
      </c>
      <c r="F7" s="2"/>
    </row>
    <row r="8" spans="1:6" s="4" customFormat="1" ht="28.5" customHeight="1">
      <c r="A8" s="2">
        <v>8</v>
      </c>
      <c r="B8" s="3" t="s">
        <v>55</v>
      </c>
      <c r="C8" s="48" t="s">
        <v>54</v>
      </c>
      <c r="D8" s="6" t="s">
        <v>57</v>
      </c>
      <c r="E8" s="5" t="s">
        <v>36</v>
      </c>
      <c r="F8" s="2"/>
    </row>
    <row r="9" spans="1:6" ht="28.5" customHeight="1">
      <c r="A9" s="2">
        <v>9</v>
      </c>
      <c r="B9" s="58" t="s">
        <v>61</v>
      </c>
      <c r="C9" s="48" t="s">
        <v>62</v>
      </c>
      <c r="D9" s="6" t="s">
        <v>154</v>
      </c>
      <c r="E9" s="47" t="s">
        <v>36</v>
      </c>
      <c r="F9" s="48"/>
    </row>
    <row r="10" spans="1:6" ht="28.5" customHeight="1">
      <c r="A10" s="2">
        <v>11</v>
      </c>
      <c r="B10" s="3" t="s">
        <v>63</v>
      </c>
      <c r="C10" s="48" t="s">
        <v>64</v>
      </c>
      <c r="D10" s="6" t="s">
        <v>66</v>
      </c>
      <c r="E10" s="47" t="s">
        <v>36</v>
      </c>
      <c r="F10" s="48"/>
    </row>
    <row r="11" spans="1:6" ht="28.5" customHeight="1">
      <c r="A11" s="2">
        <v>12</v>
      </c>
      <c r="B11" s="3" t="s">
        <v>59</v>
      </c>
      <c r="C11" s="48" t="s">
        <v>60</v>
      </c>
      <c r="D11" s="6" t="s">
        <v>151</v>
      </c>
      <c r="E11" s="47" t="s">
        <v>36</v>
      </c>
      <c r="F11" s="48"/>
    </row>
    <row r="12" spans="1:6" ht="28.5" customHeight="1">
      <c r="A12" s="2">
        <v>14</v>
      </c>
      <c r="B12" s="3" t="s">
        <v>70</v>
      </c>
      <c r="C12" s="3" t="s">
        <v>67</v>
      </c>
      <c r="D12" s="6" t="s">
        <v>72</v>
      </c>
      <c r="E12" s="47" t="s">
        <v>73</v>
      </c>
      <c r="F12" s="48"/>
    </row>
    <row r="13" spans="1:6" ht="28.5" customHeight="1">
      <c r="A13" s="2">
        <v>15</v>
      </c>
      <c r="B13" s="3" t="s">
        <v>71</v>
      </c>
      <c r="C13" s="3" t="s">
        <v>69</v>
      </c>
      <c r="D13" s="6" t="s">
        <v>74</v>
      </c>
      <c r="E13" s="47" t="s">
        <v>36</v>
      </c>
      <c r="F13" s="48"/>
    </row>
    <row r="14" spans="1:6" ht="28.5" customHeight="1">
      <c r="A14" s="2">
        <v>17</v>
      </c>
      <c r="B14" s="3" t="s">
        <v>71</v>
      </c>
      <c r="C14" s="48" t="s">
        <v>69</v>
      </c>
      <c r="D14" s="6" t="s">
        <v>74</v>
      </c>
      <c r="E14" s="47" t="s">
        <v>36</v>
      </c>
      <c r="F14" s="48"/>
    </row>
    <row r="15" spans="1:6" ht="28.5" customHeight="1">
      <c r="A15" s="2">
        <v>18</v>
      </c>
      <c r="B15" s="3" t="s">
        <v>102</v>
      </c>
      <c r="C15" s="48" t="s">
        <v>75</v>
      </c>
      <c r="D15" s="6" t="s">
        <v>129</v>
      </c>
      <c r="E15" s="47" t="s">
        <v>36</v>
      </c>
      <c r="F15" s="48"/>
    </row>
    <row r="16" spans="1:6" ht="28.5" customHeight="1">
      <c r="A16" s="2">
        <v>19</v>
      </c>
      <c r="B16" s="3" t="s">
        <v>103</v>
      </c>
      <c r="C16" s="48" t="s">
        <v>76</v>
      </c>
      <c r="D16" s="6" t="s">
        <v>142</v>
      </c>
      <c r="E16" s="47" t="s">
        <v>32</v>
      </c>
      <c r="F16" s="48"/>
    </row>
    <row r="17" spans="1:6" ht="28.5" customHeight="1">
      <c r="A17" s="2">
        <v>20</v>
      </c>
      <c r="B17" s="3" t="s">
        <v>104</v>
      </c>
      <c r="C17" s="48" t="s">
        <v>77</v>
      </c>
      <c r="D17" s="6" t="s">
        <v>138</v>
      </c>
      <c r="E17" s="47" t="s">
        <v>36</v>
      </c>
      <c r="F17" s="48"/>
    </row>
    <row r="18" spans="1:6" ht="28.5" customHeight="1">
      <c r="A18" s="2">
        <v>22</v>
      </c>
      <c r="B18" s="3" t="s">
        <v>105</v>
      </c>
      <c r="C18" s="48" t="s">
        <v>78</v>
      </c>
      <c r="D18" s="6" t="s">
        <v>141</v>
      </c>
      <c r="E18" s="47" t="s">
        <v>32</v>
      </c>
      <c r="F18" s="48"/>
    </row>
    <row r="19" spans="1:6" ht="28.5" customHeight="1">
      <c r="A19" s="2">
        <v>23</v>
      </c>
      <c r="B19" s="3" t="s">
        <v>107</v>
      </c>
      <c r="C19" s="48" t="s">
        <v>79</v>
      </c>
      <c r="D19" s="6" t="s">
        <v>136</v>
      </c>
      <c r="E19" s="47" t="s">
        <v>36</v>
      </c>
      <c r="F19" s="48"/>
    </row>
    <row r="20" spans="1:6" ht="28.5" customHeight="1">
      <c r="A20" s="2">
        <v>24</v>
      </c>
      <c r="B20" s="3" t="s">
        <v>106</v>
      </c>
      <c r="C20" s="48" t="s">
        <v>80</v>
      </c>
      <c r="D20" s="6" t="s">
        <v>152</v>
      </c>
      <c r="E20" s="47" t="s">
        <v>36</v>
      </c>
      <c r="F20" s="48" t="s">
        <v>149</v>
      </c>
    </row>
    <row r="21" spans="1:6" ht="28.5" customHeight="1">
      <c r="A21" s="2">
        <v>27</v>
      </c>
      <c r="B21" s="3" t="s">
        <v>108</v>
      </c>
      <c r="C21" s="48" t="s">
        <v>81</v>
      </c>
      <c r="D21" s="6" t="s">
        <v>130</v>
      </c>
      <c r="E21" s="47" t="s">
        <v>32</v>
      </c>
      <c r="F21" s="48"/>
    </row>
    <row r="22" spans="1:6" ht="28.5" customHeight="1">
      <c r="A22" s="2">
        <v>28</v>
      </c>
      <c r="B22" s="3" t="s">
        <v>109</v>
      </c>
      <c r="C22" s="48" t="s">
        <v>82</v>
      </c>
      <c r="D22" s="6" t="s">
        <v>131</v>
      </c>
      <c r="E22" s="47" t="s">
        <v>36</v>
      </c>
      <c r="F22" s="48"/>
    </row>
    <row r="23" spans="1:6" ht="28.5" customHeight="1">
      <c r="A23" s="2">
        <v>29</v>
      </c>
      <c r="B23" s="3" t="s">
        <v>110</v>
      </c>
      <c r="C23" s="48" t="s">
        <v>83</v>
      </c>
      <c r="D23" s="6" t="s">
        <v>137</v>
      </c>
      <c r="E23" s="47" t="s">
        <v>36</v>
      </c>
      <c r="F23" s="48"/>
    </row>
    <row r="24" spans="1:6" ht="28.5" customHeight="1">
      <c r="A24" s="2">
        <v>30</v>
      </c>
      <c r="B24" s="3" t="s">
        <v>111</v>
      </c>
      <c r="C24" s="48" t="s">
        <v>84</v>
      </c>
      <c r="D24" s="6" t="s">
        <v>132</v>
      </c>
      <c r="E24" s="47" t="s">
        <v>36</v>
      </c>
      <c r="F24" s="48"/>
    </row>
    <row r="25" spans="1:6" ht="28.5" customHeight="1">
      <c r="A25" s="2">
        <v>31</v>
      </c>
      <c r="B25" s="3" t="s">
        <v>112</v>
      </c>
      <c r="C25" s="48" t="s">
        <v>85</v>
      </c>
      <c r="D25" s="6" t="s">
        <v>155</v>
      </c>
      <c r="E25" s="47" t="s">
        <v>65</v>
      </c>
      <c r="F25" s="48"/>
    </row>
    <row r="26" spans="1:6" ht="28.5" customHeight="1">
      <c r="A26" s="2">
        <v>32</v>
      </c>
      <c r="B26" s="3" t="s">
        <v>113</v>
      </c>
      <c r="C26" s="48" t="s">
        <v>86</v>
      </c>
      <c r="D26" s="6" t="s">
        <v>143</v>
      </c>
      <c r="E26" s="47" t="s">
        <v>32</v>
      </c>
      <c r="F26" s="48"/>
    </row>
    <row r="27" spans="1:6" ht="28.5" customHeight="1">
      <c r="A27" s="2">
        <v>33</v>
      </c>
      <c r="B27" s="3" t="s">
        <v>114</v>
      </c>
      <c r="C27" s="48" t="s">
        <v>87</v>
      </c>
      <c r="D27" s="6" t="s">
        <v>144</v>
      </c>
      <c r="E27" s="47" t="s">
        <v>36</v>
      </c>
      <c r="F27" s="48"/>
    </row>
    <row r="28" spans="1:6" ht="28.5" customHeight="1">
      <c r="A28" s="2">
        <v>39</v>
      </c>
      <c r="B28" s="3" t="s">
        <v>115</v>
      </c>
      <c r="C28" s="48" t="s">
        <v>88</v>
      </c>
      <c r="D28" s="6" t="s">
        <v>153</v>
      </c>
      <c r="E28" s="47" t="s">
        <v>36</v>
      </c>
      <c r="F28" s="48" t="s">
        <v>149</v>
      </c>
    </row>
    <row r="29" spans="1:6" ht="28.5" customHeight="1">
      <c r="A29" s="2">
        <v>40</v>
      </c>
      <c r="B29" s="3" t="s">
        <v>116</v>
      </c>
      <c r="C29" s="48" t="s">
        <v>89</v>
      </c>
      <c r="D29" s="6" t="s">
        <v>133</v>
      </c>
      <c r="E29" s="47" t="s">
        <v>134</v>
      </c>
      <c r="F29" s="48"/>
    </row>
    <row r="30" spans="1:6" ht="28.5" customHeight="1">
      <c r="A30" s="2">
        <v>42</v>
      </c>
      <c r="B30" s="3" t="s">
        <v>117</v>
      </c>
      <c r="C30" s="48" t="s">
        <v>90</v>
      </c>
      <c r="D30" s="6" t="s">
        <v>150</v>
      </c>
      <c r="E30" s="47" t="s">
        <v>36</v>
      </c>
      <c r="F30" s="48"/>
    </row>
    <row r="31" spans="1:6" ht="28.5" customHeight="1">
      <c r="A31" s="2">
        <v>43</v>
      </c>
      <c r="B31" s="3" t="s">
        <v>118</v>
      </c>
      <c r="C31" s="48" t="s">
        <v>91</v>
      </c>
      <c r="D31" s="6" t="s">
        <v>140</v>
      </c>
      <c r="E31" s="47" t="s">
        <v>36</v>
      </c>
      <c r="F31" s="48"/>
    </row>
    <row r="32" spans="1:6" ht="28.5" customHeight="1">
      <c r="A32" s="2">
        <v>44</v>
      </c>
      <c r="B32" s="3" t="s">
        <v>128</v>
      </c>
      <c r="C32" s="48" t="s">
        <v>98</v>
      </c>
      <c r="D32" s="6" t="s">
        <v>145</v>
      </c>
      <c r="E32" s="47" t="s">
        <v>36</v>
      </c>
      <c r="F32" s="48"/>
    </row>
    <row r="33" spans="1:6" ht="28.5" customHeight="1">
      <c r="A33" s="2">
        <v>45</v>
      </c>
      <c r="B33" s="3" t="s">
        <v>127</v>
      </c>
      <c r="C33" s="48" t="s">
        <v>99</v>
      </c>
      <c r="D33" s="6" t="s">
        <v>146</v>
      </c>
      <c r="E33" s="47" t="s">
        <v>147</v>
      </c>
      <c r="F33" s="48"/>
    </row>
    <row r="34" spans="1:6" ht="28.5" customHeight="1">
      <c r="A34" s="2">
        <v>46</v>
      </c>
      <c r="B34" s="3" t="s">
        <v>126</v>
      </c>
      <c r="C34" s="48" t="s">
        <v>100</v>
      </c>
      <c r="D34" s="6" t="s">
        <v>139</v>
      </c>
      <c r="E34" s="47" t="s">
        <v>36</v>
      </c>
      <c r="F34" s="48"/>
    </row>
    <row r="35" spans="1:6" ht="30" customHeight="1">
      <c r="A35" s="2">
        <v>48</v>
      </c>
      <c r="B35" s="3" t="s">
        <v>125</v>
      </c>
      <c r="C35" s="48" t="s">
        <v>101</v>
      </c>
      <c r="D35" s="6" t="s">
        <v>148</v>
      </c>
      <c r="E35" s="47" t="s">
        <v>65</v>
      </c>
      <c r="F35" s="48"/>
    </row>
    <row r="36" spans="1:6" ht="30" customHeight="1">
      <c r="A36" s="48"/>
      <c r="B36" s="3" t="s">
        <v>171</v>
      </c>
      <c r="C36" s="48" t="s">
        <v>157</v>
      </c>
      <c r="D36" s="6" t="s">
        <v>183</v>
      </c>
      <c r="E36" s="47" t="s">
        <v>184</v>
      </c>
      <c r="F36" s="48"/>
    </row>
    <row r="37" spans="1:6" ht="30" customHeight="1">
      <c r="A37" s="48"/>
      <c r="B37" s="3" t="s">
        <v>172</v>
      </c>
      <c r="C37" s="48" t="s">
        <v>158</v>
      </c>
      <c r="D37" s="6" t="s">
        <v>180</v>
      </c>
      <c r="E37" s="47" t="s">
        <v>36</v>
      </c>
      <c r="F37" s="48"/>
    </row>
    <row r="38" spans="1:6" ht="30" customHeight="1">
      <c r="A38" s="48"/>
      <c r="B38" s="3" t="s">
        <v>177</v>
      </c>
      <c r="C38" s="48" t="s">
        <v>161</v>
      </c>
      <c r="D38" s="6" t="s">
        <v>179</v>
      </c>
      <c r="E38" s="47" t="s">
        <v>36</v>
      </c>
      <c r="F38" s="48"/>
    </row>
    <row r="39" spans="1:6" ht="30" customHeight="1">
      <c r="A39" s="48"/>
      <c r="B39" s="58" t="s">
        <v>189</v>
      </c>
      <c r="C39" s="48" t="s">
        <v>162</v>
      </c>
      <c r="D39" s="6" t="s">
        <v>185</v>
      </c>
      <c r="E39" s="47" t="s">
        <v>65</v>
      </c>
      <c r="F39" s="48"/>
    </row>
    <row r="40" spans="1:6" ht="30" customHeight="1">
      <c r="A40" s="48"/>
      <c r="B40" s="3" t="s">
        <v>170</v>
      </c>
      <c r="C40" s="48" t="s">
        <v>163</v>
      </c>
      <c r="D40" s="6" t="s">
        <v>188</v>
      </c>
      <c r="E40" s="47" t="s">
        <v>36</v>
      </c>
      <c r="F40" s="48"/>
    </row>
    <row r="41" spans="1:6" ht="30" customHeight="1">
      <c r="A41" s="48"/>
      <c r="B41" s="3" t="s">
        <v>47</v>
      </c>
      <c r="C41" s="48" t="s">
        <v>48</v>
      </c>
      <c r="D41" s="6" t="s">
        <v>51</v>
      </c>
      <c r="E41" s="47" t="s">
        <v>36</v>
      </c>
      <c r="F41" s="48"/>
    </row>
    <row r="42" spans="1:6" ht="30" customHeight="1">
      <c r="A42" s="48"/>
      <c r="B42" s="3" t="s">
        <v>173</v>
      </c>
      <c r="C42" s="48" t="s">
        <v>168</v>
      </c>
      <c r="D42" s="6" t="s">
        <v>181</v>
      </c>
      <c r="E42" s="47" t="s">
        <v>134</v>
      </c>
      <c r="F42" s="48"/>
    </row>
    <row r="43" spans="1:6" ht="30" customHeight="1">
      <c r="A43" s="48"/>
      <c r="B43" s="3" t="s">
        <v>59</v>
      </c>
      <c r="C43" s="48" t="s">
        <v>60</v>
      </c>
      <c r="D43" s="6" t="s">
        <v>186</v>
      </c>
      <c r="E43" s="47" t="s">
        <v>65</v>
      </c>
      <c r="F43" s="48"/>
    </row>
    <row r="44" spans="1:6" ht="30" customHeight="1">
      <c r="A44" s="48"/>
      <c r="B44" s="3" t="s">
        <v>174</v>
      </c>
      <c r="C44" s="48" t="s">
        <v>164</v>
      </c>
      <c r="D44" s="6" t="s">
        <v>182</v>
      </c>
      <c r="E44" s="47" t="s">
        <v>36</v>
      </c>
      <c r="F44" s="48"/>
    </row>
    <row r="45" spans="1:6" ht="30" customHeight="1">
      <c r="A45" s="48"/>
      <c r="B45" s="3" t="s">
        <v>176</v>
      </c>
      <c r="C45" s="48" t="s">
        <v>166</v>
      </c>
      <c r="D45" s="6" t="s">
        <v>178</v>
      </c>
      <c r="E45" s="47" t="s">
        <v>36</v>
      </c>
      <c r="F45" s="48"/>
    </row>
    <row r="46" spans="1:6" ht="30" customHeight="1">
      <c r="A46" s="48"/>
      <c r="B46" s="3" t="s">
        <v>175</v>
      </c>
      <c r="C46" s="48" t="s">
        <v>167</v>
      </c>
      <c r="D46" s="6" t="s">
        <v>187</v>
      </c>
      <c r="E46" s="47" t="s">
        <v>36</v>
      </c>
      <c r="F46" s="48"/>
    </row>
  </sheetData>
  <autoFilter ref="A3:N35" xr:uid="{00000000-0009-0000-0000-000001000000}">
    <sortState xmlns:xlrd2="http://schemas.microsoft.com/office/spreadsheetml/2017/richdata2" ref="A4:N25">
      <sortCondition sortBy="cellColor" ref="D3:D25" dxfId="3"/>
    </sortState>
  </autoFilter>
  <mergeCells count="1">
    <mergeCell ref="A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BCC</vt:lpstr>
      <vt:lpstr>STK</vt:lpstr>
      <vt:lpstr>BCC!Print_Area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Frank Nguyen</cp:lastModifiedBy>
  <cp:lastPrinted>2020-12-24T07:41:52Z</cp:lastPrinted>
  <dcterms:created xsi:type="dcterms:W3CDTF">2019-01-05T09:11:00Z</dcterms:created>
  <dcterms:modified xsi:type="dcterms:W3CDTF">2026-05-29T03:39:51Z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  <property fmtid="{D5CDD505-2E9C-101B-9397-08002B2CF9AE}" pid="3" name="KSOReadingLayout">
    <vt:bool>false</vt:bool>
  </property>
</Properties>
</file>