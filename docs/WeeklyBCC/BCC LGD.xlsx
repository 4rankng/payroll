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/Downloads/"/>
    </mc:Choice>
  </mc:AlternateContent>
  <xr:revisionPtr revIDLastSave="0" documentId="13_ncr:1_{37D17F7B-3AD2-2647-8B45-920C29631E69}" xr6:coauthVersionLast="47" xr6:coauthVersionMax="47" xr10:uidLastSave="{00000000-0000-0000-0000-000000000000}"/>
  <bookViews>
    <workbookView xWindow="0" yWindow="600" windowWidth="23260" windowHeight="12580" activeTab="8" xr2:uid="{00000000-000D-0000-FFFF-FFFF00000000}"/>
  </bookViews>
  <sheets>
    <sheet name="Có tay nghề" sheetId="1" state="hidden" r:id="rId1"/>
    <sheet name="Không có tay nghề" sheetId="2" state="hidden" r:id="rId2"/>
    <sheet name="BCC-HC" sheetId="3" r:id="rId3"/>
    <sheet name="BCC-OT150" sheetId="4" r:id="rId4"/>
    <sheet name="BCC-OT30" sheetId="5" r:id="rId5"/>
    <sheet name="BCC-OT200" sheetId="6" r:id="rId6"/>
    <sheet name="BCC-OT270" sheetId="7" r:id="rId7"/>
    <sheet name="BCC-OT300" sheetId="8" r:id="rId8"/>
    <sheet name="BCC-OT390" sheetId="9" r:id="rId9"/>
    <sheet name="STK" sheetId="10" r:id="rId10"/>
    <sheet name="Hỗ trợ khác" sheetId="11" state="hidden" r:id="rId11"/>
  </sheets>
  <definedNames>
    <definedName name="_xlnm._FilterDatabase" localSheetId="9" hidden="1">STK!$A$2:$F$42</definedName>
    <definedName name="_xlnm.Print_Area" localSheetId="0">'Có tay nghề'!$A$1:$BR$38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1" l="1"/>
  <c r="AI8" i="9"/>
  <c r="A8" i="9"/>
  <c r="AI7" i="9"/>
  <c r="A7" i="9"/>
  <c r="AI6" i="9"/>
  <c r="A6" i="9"/>
  <c r="AI5" i="9"/>
  <c r="A5" i="9"/>
  <c r="AI4" i="9"/>
  <c r="A4" i="9"/>
  <c r="AI3" i="9"/>
  <c r="A3" i="9"/>
  <c r="AI2" i="9"/>
  <c r="A2" i="9"/>
  <c r="I1" i="9"/>
  <c r="J1" i="9" s="1"/>
  <c r="K1" i="9" s="1"/>
  <c r="L1" i="9" s="1"/>
  <c r="M1" i="9" s="1"/>
  <c r="N1" i="9" s="1"/>
  <c r="O1" i="9" s="1"/>
  <c r="P1" i="9" s="1"/>
  <c r="Q1" i="9" s="1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E1" i="9"/>
  <c r="F1" i="9" s="1"/>
  <c r="G1" i="9" s="1"/>
  <c r="H1" i="9" s="1"/>
  <c r="AI8" i="8"/>
  <c r="A8" i="8"/>
  <c r="AI7" i="8"/>
  <c r="A7" i="8"/>
  <c r="AI6" i="8"/>
  <c r="A6" i="8"/>
  <c r="AI5" i="8"/>
  <c r="A5" i="8"/>
  <c r="AI4" i="8"/>
  <c r="A4" i="8"/>
  <c r="AI3" i="8"/>
  <c r="A3" i="8"/>
  <c r="AI2" i="8"/>
  <c r="A2" i="8"/>
  <c r="E1" i="8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8" i="7"/>
  <c r="A8" i="7"/>
  <c r="AI7" i="7"/>
  <c r="A7" i="7"/>
  <c r="AI6" i="7"/>
  <c r="A6" i="7"/>
  <c r="AI5" i="7"/>
  <c r="A5" i="7"/>
  <c r="AI4" i="7"/>
  <c r="A4" i="7"/>
  <c r="AI3" i="7"/>
  <c r="A3" i="7"/>
  <c r="AI2" i="7"/>
  <c r="A2" i="7"/>
  <c r="E1" i="7"/>
  <c r="F1" i="7" s="1"/>
  <c r="G1" i="7" s="1"/>
  <c r="H1" i="7" s="1"/>
  <c r="I1" i="7" s="1"/>
  <c r="J1" i="7" s="1"/>
  <c r="K1" i="7" s="1"/>
  <c r="L1" i="7" s="1"/>
  <c r="M1" i="7" s="1"/>
  <c r="N1" i="7" s="1"/>
  <c r="O1" i="7" s="1"/>
  <c r="P1" i="7" s="1"/>
  <c r="Q1" i="7" s="1"/>
  <c r="R1" i="7" s="1"/>
  <c r="S1" i="7" s="1"/>
  <c r="T1" i="7" s="1"/>
  <c r="U1" i="7" s="1"/>
  <c r="V1" i="7" s="1"/>
  <c r="W1" i="7" s="1"/>
  <c r="X1" i="7" s="1"/>
  <c r="Y1" i="7" s="1"/>
  <c r="Z1" i="7" s="1"/>
  <c r="AA1" i="7" s="1"/>
  <c r="AB1" i="7" s="1"/>
  <c r="AC1" i="7" s="1"/>
  <c r="AD1" i="7" s="1"/>
  <c r="AE1" i="7" s="1"/>
  <c r="AF1" i="7" s="1"/>
  <c r="AG1" i="7" s="1"/>
  <c r="AH1" i="7" s="1"/>
  <c r="AI8" i="6"/>
  <c r="A8" i="6"/>
  <c r="AI7" i="6"/>
  <c r="A7" i="6"/>
  <c r="AI6" i="6"/>
  <c r="A6" i="6"/>
  <c r="AI5" i="6"/>
  <c r="A5" i="6"/>
  <c r="AI4" i="6"/>
  <c r="A4" i="6"/>
  <c r="AI3" i="6"/>
  <c r="A3" i="6"/>
  <c r="AI2" i="6"/>
  <c r="A2" i="6"/>
  <c r="K1" i="6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E1" i="6"/>
  <c r="F1" i="6" s="1"/>
  <c r="G1" i="6" s="1"/>
  <c r="H1" i="6" s="1"/>
  <c r="I1" i="6" s="1"/>
  <c r="J1" i="6" s="1"/>
  <c r="AI8" i="5"/>
  <c r="A8" i="5"/>
  <c r="AI7" i="5"/>
  <c r="A7" i="5"/>
  <c r="AI6" i="5"/>
  <c r="A6" i="5"/>
  <c r="AI5" i="5"/>
  <c r="A5" i="5"/>
  <c r="AI4" i="5"/>
  <c r="A4" i="5"/>
  <c r="AI3" i="5"/>
  <c r="A3" i="5"/>
  <c r="AI2" i="5"/>
  <c r="A2" i="5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8" i="4"/>
  <c r="A8" i="4"/>
  <c r="AI7" i="4"/>
  <c r="A7" i="4"/>
  <c r="AI6" i="4"/>
  <c r="A6" i="4"/>
  <c r="AI5" i="4"/>
  <c r="A5" i="4"/>
  <c r="AI4" i="4"/>
  <c r="A4" i="4"/>
  <c r="AI3" i="4"/>
  <c r="A3" i="4"/>
  <c r="AI2" i="4"/>
  <c r="A2" i="4"/>
  <c r="E1" i="4"/>
  <c r="F1" i="4" s="1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T1" i="4" s="1"/>
  <c r="U1" i="4" s="1"/>
  <c r="V1" i="4" s="1"/>
  <c r="W1" i="4" s="1"/>
  <c r="X1" i="4" s="1"/>
  <c r="Y1" i="4" s="1"/>
  <c r="Z1" i="4" s="1"/>
  <c r="AA1" i="4" s="1"/>
  <c r="AB1" i="4" s="1"/>
  <c r="AC1" i="4" s="1"/>
  <c r="AD1" i="4" s="1"/>
  <c r="AE1" i="4" s="1"/>
  <c r="AF1" i="4" s="1"/>
  <c r="AG1" i="4" s="1"/>
  <c r="AH1" i="4" s="1"/>
  <c r="BS28" i="2"/>
  <c r="BR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O28" i="2"/>
  <c r="N28" i="2"/>
  <c r="M28" i="2"/>
  <c r="L28" i="2"/>
  <c r="K28" i="2"/>
  <c r="J28" i="2"/>
  <c r="I28" i="2"/>
  <c r="H28" i="2"/>
  <c r="G28" i="2"/>
  <c r="F28" i="2"/>
  <c r="BV27" i="2"/>
  <c r="BU27" i="2"/>
  <c r="BT27" i="2"/>
  <c r="BR27" i="2"/>
  <c r="BQ27" i="2"/>
  <c r="BP27" i="2"/>
  <c r="BV26" i="2"/>
  <c r="BU26" i="2"/>
  <c r="BT26" i="2"/>
  <c r="BR26" i="2"/>
  <c r="BQ26" i="2"/>
  <c r="BP26" i="2"/>
  <c r="BV25" i="2"/>
  <c r="BU25" i="2"/>
  <c r="BT25" i="2"/>
  <c r="BR25" i="2"/>
  <c r="BQ25" i="2"/>
  <c r="BP25" i="2"/>
  <c r="BV24" i="2"/>
  <c r="BU24" i="2"/>
  <c r="BT24" i="2"/>
  <c r="BR24" i="2"/>
  <c r="BQ24" i="2"/>
  <c r="BP24" i="2"/>
  <c r="BV23" i="2"/>
  <c r="BU23" i="2"/>
  <c r="BT23" i="2"/>
  <c r="BR23" i="2"/>
  <c r="BQ23" i="2"/>
  <c r="BP23" i="2"/>
  <c r="BV22" i="2"/>
  <c r="BU22" i="2"/>
  <c r="BT22" i="2"/>
  <c r="BR22" i="2"/>
  <c r="BQ22" i="2"/>
  <c r="BP22" i="2"/>
  <c r="BV21" i="2"/>
  <c r="BU21" i="2"/>
  <c r="BT21" i="2"/>
  <c r="BR21" i="2"/>
  <c r="BQ21" i="2"/>
  <c r="BP21" i="2"/>
  <c r="BV20" i="2"/>
  <c r="BU20" i="2"/>
  <c r="BT20" i="2"/>
  <c r="BR20" i="2"/>
  <c r="BQ20" i="2"/>
  <c r="BP20" i="2"/>
  <c r="BV19" i="2"/>
  <c r="BU19" i="2"/>
  <c r="BT19" i="2"/>
  <c r="BR19" i="2"/>
  <c r="BQ19" i="2"/>
  <c r="BP19" i="2"/>
  <c r="BV18" i="2"/>
  <c r="BU18" i="2"/>
  <c r="BT18" i="2"/>
  <c r="BR18" i="2"/>
  <c r="BQ18" i="2"/>
  <c r="BP18" i="2"/>
  <c r="BV17" i="2"/>
  <c r="BU17" i="2"/>
  <c r="BT17" i="2"/>
  <c r="BR17" i="2"/>
  <c r="BQ17" i="2"/>
  <c r="BP17" i="2"/>
  <c r="BV16" i="2"/>
  <c r="BU16" i="2"/>
  <c r="BT16" i="2"/>
  <c r="BR16" i="2"/>
  <c r="BQ16" i="2"/>
  <c r="BP16" i="2"/>
  <c r="BV15" i="2"/>
  <c r="BU15" i="2"/>
  <c r="BT15" i="2"/>
  <c r="BR15" i="2"/>
  <c r="BQ15" i="2"/>
  <c r="BP15" i="2"/>
  <c r="BV14" i="2"/>
  <c r="BU14" i="2"/>
  <c r="BT14" i="2"/>
  <c r="BR14" i="2"/>
  <c r="BQ14" i="2"/>
  <c r="BP14" i="2"/>
  <c r="BV13" i="2"/>
  <c r="BU13" i="2"/>
  <c r="BT13" i="2"/>
  <c r="BR13" i="2"/>
  <c r="BQ13" i="2"/>
  <c r="BP13" i="2"/>
  <c r="BV12" i="2"/>
  <c r="BU12" i="2"/>
  <c r="BT12" i="2"/>
  <c r="BR12" i="2"/>
  <c r="BQ12" i="2"/>
  <c r="BP12" i="2"/>
  <c r="BV11" i="2"/>
  <c r="BU11" i="2"/>
  <c r="BT11" i="2"/>
  <c r="BR11" i="2"/>
  <c r="BQ11" i="2"/>
  <c r="BP11" i="2"/>
  <c r="BV10" i="2"/>
  <c r="BU10" i="2"/>
  <c r="BT10" i="2"/>
  <c r="BR10" i="2"/>
  <c r="BQ10" i="2"/>
  <c r="BP10" i="2"/>
  <c r="BV9" i="2"/>
  <c r="BU9" i="2"/>
  <c r="BT9" i="2"/>
  <c r="BR9" i="2"/>
  <c r="BQ9" i="2"/>
  <c r="BP9" i="2"/>
  <c r="BV8" i="2"/>
  <c r="BU8" i="2"/>
  <c r="BT8" i="2"/>
  <c r="BR8" i="2"/>
  <c r="BQ8" i="2"/>
  <c r="BQ28" i="2" s="1"/>
  <c r="BP8" i="2"/>
  <c r="BV7" i="2"/>
  <c r="BU7" i="2"/>
  <c r="BT7" i="2"/>
  <c r="BR7" i="2"/>
  <c r="BQ7" i="2"/>
  <c r="BP7" i="2"/>
  <c r="BW28" i="1"/>
  <c r="BV28" i="1"/>
  <c r="BU28" i="1"/>
  <c r="BT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P28" i="1"/>
  <c r="O28" i="1"/>
  <c r="N28" i="1"/>
  <c r="M28" i="1"/>
  <c r="L28" i="1"/>
  <c r="K28" i="1"/>
  <c r="J28" i="1"/>
  <c r="I28" i="1"/>
  <c r="H28" i="1"/>
  <c r="G28" i="1"/>
  <c r="BW27" i="1"/>
  <c r="BV27" i="1"/>
  <c r="BU27" i="1"/>
  <c r="BW26" i="1"/>
  <c r="BV26" i="1"/>
  <c r="BU26" i="1"/>
  <c r="BW25" i="1"/>
  <c r="BV25" i="1"/>
  <c r="BU25" i="1"/>
  <c r="BW24" i="1"/>
  <c r="BV24" i="1"/>
  <c r="BU24" i="1"/>
  <c r="BS24" i="1"/>
  <c r="BR24" i="1"/>
  <c r="BQ24" i="1"/>
  <c r="BW23" i="1"/>
  <c r="BV23" i="1"/>
  <c r="BU23" i="1"/>
  <c r="BS23" i="1"/>
  <c r="BR23" i="1"/>
  <c r="BQ23" i="1"/>
  <c r="BW22" i="1"/>
  <c r="BV22" i="1"/>
  <c r="BU22" i="1"/>
  <c r="BS22" i="1"/>
  <c r="BR22" i="1"/>
  <c r="BQ22" i="1"/>
  <c r="BW21" i="1"/>
  <c r="BV21" i="1"/>
  <c r="BU21" i="1"/>
  <c r="BS21" i="1"/>
  <c r="BR21" i="1"/>
  <c r="BQ21" i="1"/>
  <c r="BW20" i="1"/>
  <c r="BV20" i="1"/>
  <c r="BU20" i="1"/>
  <c r="BS20" i="1"/>
  <c r="BR20" i="1"/>
  <c r="BQ20" i="1"/>
  <c r="BW19" i="1"/>
  <c r="BV19" i="1"/>
  <c r="BU19" i="1"/>
  <c r="BS19" i="1"/>
  <c r="BR19" i="1"/>
  <c r="BQ19" i="1"/>
  <c r="BW18" i="1"/>
  <c r="BV18" i="1"/>
  <c r="BU18" i="1"/>
  <c r="BS18" i="1"/>
  <c r="BR18" i="1"/>
  <c r="BQ18" i="1"/>
  <c r="BW17" i="1"/>
  <c r="BV17" i="1"/>
  <c r="BU17" i="1"/>
  <c r="BS17" i="1"/>
  <c r="BR17" i="1"/>
  <c r="BQ17" i="1"/>
  <c r="BW16" i="1"/>
  <c r="BV16" i="1"/>
  <c r="BU16" i="1"/>
  <c r="BS16" i="1"/>
  <c r="BR16" i="1"/>
  <c r="BQ16" i="1"/>
  <c r="BW15" i="1"/>
  <c r="BV15" i="1"/>
  <c r="BU15" i="1"/>
  <c r="BS15" i="1"/>
  <c r="BR15" i="1"/>
  <c r="BQ15" i="1"/>
  <c r="BW14" i="1"/>
  <c r="BV14" i="1"/>
  <c r="BU14" i="1"/>
  <c r="BS14" i="1"/>
  <c r="BR14" i="1"/>
  <c r="BQ14" i="1"/>
  <c r="BW13" i="1"/>
  <c r="BV13" i="1"/>
  <c r="BU13" i="1"/>
  <c r="BS13" i="1"/>
  <c r="BR13" i="1"/>
  <c r="BQ13" i="1"/>
  <c r="BW12" i="1"/>
  <c r="BV12" i="1"/>
  <c r="BU12" i="1"/>
  <c r="BS12" i="1"/>
  <c r="BR12" i="1"/>
  <c r="BQ12" i="1"/>
  <c r="BW11" i="1"/>
  <c r="BV11" i="1"/>
  <c r="BU11" i="1"/>
  <c r="BS11" i="1"/>
  <c r="BR11" i="1"/>
  <c r="BQ11" i="1"/>
  <c r="BW10" i="1"/>
  <c r="BV10" i="1"/>
  <c r="BU10" i="1"/>
  <c r="BS10" i="1"/>
  <c r="BR10" i="1"/>
  <c r="BQ10" i="1"/>
  <c r="BW9" i="1"/>
  <c r="BV9" i="1"/>
  <c r="BU9" i="1"/>
  <c r="BS9" i="1"/>
  <c r="BR9" i="1"/>
  <c r="BQ9" i="1"/>
  <c r="BW8" i="1"/>
  <c r="BV8" i="1"/>
  <c r="BU8" i="1"/>
  <c r="BS8" i="1"/>
  <c r="BR8" i="1"/>
  <c r="BQ8" i="1"/>
  <c r="BW7" i="1"/>
  <c r="BV7" i="1"/>
  <c r="BU7" i="1"/>
  <c r="BS7" i="1"/>
  <c r="BS28" i="1" s="1"/>
  <c r="BR7" i="1"/>
  <c r="BR28" i="1" s="1"/>
  <c r="BQ7" i="1"/>
  <c r="BQ28" i="1" s="1"/>
  <c r="AJ8" i="3"/>
  <c r="AJ7" i="3"/>
  <c r="AJ6" i="3"/>
  <c r="AJ5" i="3"/>
  <c r="AJ4" i="3"/>
  <c r="AJ3" i="3"/>
  <c r="AJ2" i="3"/>
  <c r="F1" i="3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BU28" i="2" l="1"/>
  <c r="BT28" i="2"/>
  <c r="BP28" i="2"/>
  <c r="BV28" i="2"/>
</calcChain>
</file>

<file path=xl/sharedStrings.xml><?xml version="1.0" encoding="utf-8"?>
<sst xmlns="http://schemas.openxmlformats.org/spreadsheetml/2006/main" count="737" uniqueCount="226">
  <si>
    <t>STT</t>
  </si>
  <si>
    <t>Mã nhân viên</t>
  </si>
  <si>
    <t>Họ Tên</t>
  </si>
  <si>
    <t>Dự án</t>
  </si>
  <si>
    <t>Tổng</t>
  </si>
  <si>
    <t>031086013798</t>
  </si>
  <si>
    <t>Nguyễn Ngọc Minh</t>
  </si>
  <si>
    <t>LGD</t>
  </si>
  <si>
    <t>030207001868</t>
  </si>
  <si>
    <t>Hà Huy Hoàng Dương</t>
  </si>
  <si>
    <t>012204003003</t>
  </si>
  <si>
    <t>Thào A Minh</t>
  </si>
  <si>
    <t>004202006737</t>
  </si>
  <si>
    <t>Hoàng Văn Đạo</t>
  </si>
  <si>
    <t>014204003899</t>
  </si>
  <si>
    <t>Lò Văn Mạnh</t>
  </si>
  <si>
    <t>034093003726</t>
  </si>
  <si>
    <t>Nguyễn Thanh Tùng</t>
  </si>
  <si>
    <t>048091006564</t>
  </si>
  <si>
    <t>Trần Đình Long</t>
  </si>
  <si>
    <t>Công ty Cổ phần Quốc tế Thương mại và Dịch vụ Việt Pháp</t>
  </si>
  <si>
    <t>MST: 0201307104</t>
  </si>
  <si>
    <t>LƯƠNG TUẦN KỲ 1 DỰ ÁN PQC HẢI PHÒNG</t>
  </si>
  <si>
    <t>Họ và tên</t>
  </si>
  <si>
    <t>Nhà máy</t>
  </si>
  <si>
    <t>Có tay nghề</t>
  </si>
  <si>
    <t>Ngày nghỉ</t>
  </si>
  <si>
    <t>Tổng hợp CN không có tay nghề</t>
  </si>
  <si>
    <t>Tổng hợp CN có tay nghề</t>
  </si>
  <si>
    <t>CB</t>
  </si>
  <si>
    <t>OT</t>
  </si>
  <si>
    <t>CN</t>
  </si>
  <si>
    <t>Lễ Tết</t>
  </si>
  <si>
    <t>Ghi chú</t>
  </si>
  <si>
    <t>01</t>
  </si>
  <si>
    <t>031307011729</t>
  </si>
  <si>
    <t>Vũ Thị Thu Thảo</t>
  </si>
  <si>
    <t>Maple</t>
  </si>
  <si>
    <t>02</t>
  </si>
  <si>
    <t>031190010799</t>
  </si>
  <si>
    <t xml:space="preserve">Phạm Thị Huệ </t>
  </si>
  <si>
    <t>03</t>
  </si>
  <si>
    <t>037304001514</t>
  </si>
  <si>
    <t>Nguyễn Thị Loan</t>
  </si>
  <si>
    <t>04</t>
  </si>
  <si>
    <t>031195015224</t>
  </si>
  <si>
    <t>Nguyễn Thị Bình</t>
  </si>
  <si>
    <t>05</t>
  </si>
  <si>
    <t>001185012642</t>
  </si>
  <si>
    <t>Vũ Thị Hường</t>
  </si>
  <si>
    <t>06</t>
  </si>
  <si>
    <t>031303000510</t>
  </si>
  <si>
    <t>Trần Thị Bích Chuyên</t>
  </si>
  <si>
    <t>07</t>
  </si>
  <si>
    <t>031188002446</t>
  </si>
  <si>
    <t>Lương Thị Lành</t>
  </si>
  <si>
    <t>08</t>
  </si>
  <si>
    <t>031303012155</t>
  </si>
  <si>
    <t>Vũ Thị Huyền Trang</t>
  </si>
  <si>
    <t>09</t>
  </si>
  <si>
    <t>031192020913</t>
  </si>
  <si>
    <t>Huỳnh Thị Thu Hoa</t>
  </si>
  <si>
    <t>10</t>
  </si>
  <si>
    <t>031199003245</t>
  </si>
  <si>
    <t>Bùi Thị Nga</t>
  </si>
  <si>
    <t>11</t>
  </si>
  <si>
    <t>030185019027</t>
  </si>
  <si>
    <t>Đào Thị Miền</t>
  </si>
  <si>
    <t>12</t>
  </si>
  <si>
    <t>031306002190</t>
  </si>
  <si>
    <t>Lê Thị Hằng</t>
  </si>
  <si>
    <t>13</t>
  </si>
  <si>
    <t>031196016335</t>
  </si>
  <si>
    <t>Nguyễn Vân Anh</t>
  </si>
  <si>
    <t>14</t>
  </si>
  <si>
    <t>040304018753</t>
  </si>
  <si>
    <t>Lê Thị Khánh Linh</t>
  </si>
  <si>
    <t>15</t>
  </si>
  <si>
    <t>031192012962</t>
  </si>
  <si>
    <t>Bùi Thị Phượng</t>
  </si>
  <si>
    <t>16</t>
  </si>
  <si>
    <t>031185003176</t>
  </si>
  <si>
    <t>Nguyễn Thị Thủy</t>
  </si>
  <si>
    <t>17</t>
  </si>
  <si>
    <t>031195003804</t>
  </si>
  <si>
    <t>Bùi Thị Thắm</t>
  </si>
  <si>
    <t>18</t>
  </si>
  <si>
    <t>031195015809</t>
  </si>
  <si>
    <t>Tô Thị Ngát</t>
  </si>
  <si>
    <t>19</t>
  </si>
  <si>
    <t>031193008655</t>
  </si>
  <si>
    <t>Nguyễn Thị Thư</t>
  </si>
  <si>
    <t>20</t>
  </si>
  <si>
    <t>031197007235</t>
  </si>
  <si>
    <t>Đỗ Thị Quỳnh Giang</t>
  </si>
  <si>
    <t>Tổng cộng</t>
  </si>
  <si>
    <t>Người lập biểu</t>
  </si>
  <si>
    <t>(Ký, Họ tên)</t>
  </si>
  <si>
    <t>Nguyễn Văn Cường</t>
  </si>
  <si>
    <t>Không có tay nghề</t>
  </si>
  <si>
    <t>034187018814</t>
  </si>
  <si>
    <t>Phạm Thị Tơ</t>
  </si>
  <si>
    <t>031198007027</t>
  </si>
  <si>
    <t>Nguyễn Thị Kim Phượng</t>
  </si>
  <si>
    <t>031308011718</t>
  </si>
  <si>
    <t>Doãn Thị Nhi</t>
  </si>
  <si>
    <t>031187002408</t>
  </si>
  <si>
    <t>Đàm Thị Như Ngọc</t>
  </si>
  <si>
    <t>031193008454</t>
  </si>
  <si>
    <t>Đoàn Hải Anh</t>
  </si>
  <si>
    <t>031308004989</t>
  </si>
  <si>
    <t>Đỗ Thị Hương Giang</t>
  </si>
  <si>
    <t>011307000396</t>
  </si>
  <si>
    <t>Lò Thị Thúy</t>
  </si>
  <si>
    <t>031198001685</t>
  </si>
  <si>
    <t>Lưu Thị Ngọc</t>
  </si>
  <si>
    <t>031191019045</t>
  </si>
  <si>
    <t>031188003970</t>
  </si>
  <si>
    <t>Phạm Thị Hường</t>
  </si>
  <si>
    <t>011307005833</t>
  </si>
  <si>
    <t>Tòng Thị Trang</t>
  </si>
  <si>
    <t>031308006642</t>
  </si>
  <si>
    <t>Trần Phạm Việt Anh</t>
  </si>
  <si>
    <t>031307005159</t>
  </si>
  <si>
    <t>Trần Thị Bích Ngọc</t>
  </si>
  <si>
    <t>031304013018</t>
  </si>
  <si>
    <t>Trịnh Thanh Thúy</t>
  </si>
  <si>
    <t>031186000750</t>
  </si>
  <si>
    <t>Vũ Thị Hằng</t>
  </si>
  <si>
    <t>011307008046</t>
  </si>
  <si>
    <t>Lò Thị Lan</t>
  </si>
  <si>
    <t>030187002468</t>
  </si>
  <si>
    <t>Nguyễn Thị Hạnh</t>
  </si>
  <si>
    <t>031305001126</t>
  </si>
  <si>
    <t>Phạm Thị Hương</t>
  </si>
  <si>
    <t>004305000384</t>
  </si>
  <si>
    <t>Ma Ngọc Hân</t>
  </si>
  <si>
    <t>031198007385</t>
  </si>
  <si>
    <t>Lưu Tuyết Nhung</t>
  </si>
  <si>
    <t>SỐ TÀI KHOẢN DỰ ÁN PQC</t>
  </si>
  <si>
    <t>Stt</t>
  </si>
  <si>
    <t>ID</t>
  </si>
  <si>
    <t>Tên</t>
  </si>
  <si>
    <t xml:space="preserve">STK </t>
  </si>
  <si>
    <t>Ngân Hàng</t>
  </si>
  <si>
    <t>Cty làm việc</t>
  </si>
  <si>
    <t>6825072007</t>
  </si>
  <si>
    <t xml:space="preserve">MSB </t>
  </si>
  <si>
    <t>Phạm Thị Huệ</t>
  </si>
  <si>
    <t>19023465392011</t>
  </si>
  <si>
    <t>Techcombak</t>
  </si>
  <si>
    <t>0100190076868</t>
  </si>
  <si>
    <t>MB</t>
  </si>
  <si>
    <t>0386624728</t>
  </si>
  <si>
    <t>0368707889</t>
  </si>
  <si>
    <t>0904157683</t>
  </si>
  <si>
    <t>1994301094</t>
  </si>
  <si>
    <t>1052249328</t>
  </si>
  <si>
    <t>VCB</t>
  </si>
  <si>
    <t>0867759258</t>
  </si>
  <si>
    <t>0936572416</t>
  </si>
  <si>
    <t>0001397190150</t>
  </si>
  <si>
    <t>0772254475</t>
  </si>
  <si>
    <t>02101013810098</t>
  </si>
  <si>
    <t>MSB</t>
  </si>
  <si>
    <t>0968236294</t>
  </si>
  <si>
    <t>1022398101</t>
  </si>
  <si>
    <t>0387441855</t>
  </si>
  <si>
    <t>0936661482</t>
  </si>
  <si>
    <t>0352554882</t>
  </si>
  <si>
    <t>0789244346</t>
  </si>
  <si>
    <t>0775284080</t>
  </si>
  <si>
    <t>21</t>
  </si>
  <si>
    <t>2610147884</t>
  </si>
  <si>
    <t>BIDV</t>
  </si>
  <si>
    <t>22</t>
  </si>
  <si>
    <t>030082621810</t>
  </si>
  <si>
    <t>Sacombank</t>
  </si>
  <si>
    <t>23</t>
  </si>
  <si>
    <t>0342340716</t>
  </si>
  <si>
    <t>24</t>
  </si>
  <si>
    <t>0342922356</t>
  </si>
  <si>
    <t>25</t>
  </si>
  <si>
    <t>0946391589</t>
  </si>
  <si>
    <t>Vietinbank</t>
  </si>
  <si>
    <t>26</t>
  </si>
  <si>
    <t>0788080604</t>
  </si>
  <si>
    <t>27</t>
  </si>
  <si>
    <t>1058902007</t>
  </si>
  <si>
    <t>28</t>
  </si>
  <si>
    <t>030077624127</t>
  </si>
  <si>
    <t>29</t>
  </si>
  <si>
    <t>3211250694</t>
  </si>
  <si>
    <t>30</t>
  </si>
  <si>
    <t xml:space="preserve">666604041988 </t>
  </si>
  <si>
    <t>31</t>
  </si>
  <si>
    <t>0338615048</t>
  </si>
  <si>
    <t>32</t>
  </si>
  <si>
    <t>6802062008</t>
  </si>
  <si>
    <t>33</t>
  </si>
  <si>
    <t>2508272920</t>
  </si>
  <si>
    <t>34</t>
  </si>
  <si>
    <t>888809022004</t>
  </si>
  <si>
    <t>35</t>
  </si>
  <si>
    <t>0031000222176</t>
  </si>
  <si>
    <t>36</t>
  </si>
  <si>
    <t>8910220028941</t>
  </si>
  <si>
    <t>Agribank</t>
  </si>
  <si>
    <t>37</t>
  </si>
  <si>
    <t>0934998078</t>
  </si>
  <si>
    <t>38</t>
  </si>
  <si>
    <t>3392576331</t>
  </si>
  <si>
    <t>Techcombank</t>
  </si>
  <si>
    <t>39</t>
  </si>
  <si>
    <t>0001367283859</t>
  </si>
  <si>
    <t>40</t>
  </si>
  <si>
    <t>362708082</t>
  </si>
  <si>
    <t>VIB</t>
  </si>
  <si>
    <t xml:space="preserve">CÔNG TY CỔ PHẦN QUỐC TẾ THƯƠNG MẠI VÀ DỊCH VỤ VIỆT PHÁP </t>
  </si>
  <si>
    <t>BẢNG KÊ CHI TIẾT PHÍ HỖ TRỢ TEST COVID</t>
  </si>
  <si>
    <t>Nhân viên</t>
  </si>
  <si>
    <t>Ngày test</t>
  </si>
  <si>
    <t xml:space="preserve">Phí test </t>
  </si>
  <si>
    <t>Nguyễn Thị Minh Phương</t>
  </si>
  <si>
    <t>Trần Thị Hiền</t>
  </si>
  <si>
    <t>Ninh Văn Thắng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</si>
</sst>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\ _₫_-;\-* #,##0\ _₫_-;_-* &quot;-&quot;??\ _₫_-;_-@_-"/>
    <numFmt numFmtId="165" formatCode="_(* #,##0_);_(* \(#,##0\);_(* &quot;-&quot;??_);_(@_)"/>
    <numFmt numFmtId="166" formatCode="0.0%"/>
    <numFmt numFmtId="167" formatCode="_-* #,##0.0_-;\-* #,##0.0_-;_-* &quot;-&quot;??_-;_-@_-"/>
    <numFmt numFmtId="168" formatCode="_ * #,##0.0_ ;_ * \-#,##0.0_ ;_ * &quot;-&quot;??_ ;_ @_ "/>
    <numFmt numFmtId="169" formatCode="_-* #,##0_-;\-* #,##0_-;_-* &quot;-&quot;??_-;_-@_-"/>
    <numFmt numFmtId="170" formatCode="_-* #,##0_-;\-* #,##0_-;_-* &quot;-&quot;_-;_-@_-"/>
    <numFmt numFmtId="171" formatCode="dd"/>
    <numFmt numFmtId="172" formatCode="_ * #,##0.00_ ;_ * \-#,##0.00_ ;_ * &quot;-&quot;??_ ;_ @_ "/>
    <numFmt numFmtId="173" formatCode="[$-F800]dddd\,\ mmmm\ dd\,\ yyyy"/>
    <numFmt numFmtId="174" formatCode="_-* #,##0.00\ _₫_-;\-* #,##0.00\ _₫_-;_-* &quot;-&quot;??\ _₫_-;_-@_-"/>
  </numFmts>
  <fonts count="42">
    <font>
      <sz val="11"/>
      <color rgb="FF000000"/>
      <name val="Arial"/>
      <charset val="134"/>
    </font>
    <font>
      <b/>
      <sz val="11"/>
      <name val="Tahoma"/>
      <family val="2"/>
    </font>
    <font>
      <b/>
      <sz val="10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6"/>
      <name val="Tahoma"/>
      <family val="2"/>
    </font>
    <font>
      <i/>
      <sz val="11"/>
      <name val="Tahoma"/>
      <family val="2"/>
    </font>
    <font>
      <sz val="11"/>
      <name val="돋움"/>
      <family val="2"/>
      <charset val="129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name val="Tahoma"/>
      <family val="2"/>
    </font>
    <font>
      <b/>
      <i/>
      <sz val="11"/>
      <name val="Tahoma"/>
      <family val="2"/>
    </font>
    <font>
      <b/>
      <sz val="9"/>
      <color theme="1"/>
      <name val="Tahoma"/>
      <family val="2"/>
    </font>
    <font>
      <sz val="18"/>
      <color rgb="FF000000"/>
      <name val="Times New Roman"/>
      <family val="1"/>
    </font>
    <font>
      <sz val="18"/>
      <name val="Times New Roman"/>
      <family val="1"/>
    </font>
    <font>
      <b/>
      <sz val="18"/>
      <name val="Times New Roman"/>
      <family val="1"/>
    </font>
    <font>
      <b/>
      <sz val="18"/>
      <color rgb="FF000000"/>
      <name val="Times New Roman"/>
      <family val="1"/>
    </font>
    <font>
      <b/>
      <i/>
      <sz val="18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8"/>
      <color rgb="FF000000"/>
      <name val="Times New Roman"/>
      <family val="1"/>
    </font>
    <font>
      <i/>
      <sz val="18"/>
      <color rgb="FF000000"/>
      <name val="Times New Roman"/>
      <family val="1"/>
    </font>
    <font>
      <sz val="11"/>
      <color theme="1"/>
      <name val="Times New Roman"/>
      <family val="1"/>
    </font>
    <font>
      <b/>
      <sz val="36"/>
      <name val="Times New Roman"/>
      <family val="1"/>
    </font>
    <font>
      <b/>
      <sz val="24"/>
      <color rgb="FF000000"/>
      <name val="Times New Roman"/>
      <family val="1"/>
    </font>
    <font>
      <sz val="18"/>
      <color rgb="FF000000"/>
      <name val="Tahoma"/>
      <family val="2"/>
    </font>
    <font>
      <sz val="11"/>
      <color rgb="FF000000"/>
      <name val="Arial"/>
      <family val="2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b/>
      <i/>
      <sz val="16"/>
      <name val="Times New Roman"/>
      <family val="1"/>
    </font>
    <font>
      <b/>
      <i/>
      <sz val="16"/>
      <color rgb="FF000000"/>
      <name val="Times New Roman"/>
      <family val="1"/>
    </font>
    <font>
      <i/>
      <sz val="16"/>
      <color rgb="FF000000"/>
      <name val="Times New Roman"/>
      <family val="1"/>
    </font>
    <font>
      <b/>
      <sz val="10"/>
      <name val="Verdana"/>
      <family val="2"/>
    </font>
    <font>
      <b/>
      <sz val="12"/>
      <name val="Verdana"/>
      <family val="2"/>
    </font>
    <font>
      <b/>
      <sz val="16"/>
      <name val="Verdana"/>
      <family val="2"/>
    </font>
    <font>
      <b/>
      <sz val="11"/>
      <name val="Verdana"/>
      <family val="2"/>
    </font>
    <font>
      <b/>
      <sz val="14"/>
      <name val="Verdana"/>
      <family val="2"/>
    </font>
    <font>
      <sz val="11"/>
      <color indexed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rgb="FFD8D8D8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indexed="22"/>
      </patternFill>
    </fill>
    <fill>
      <patternFill patternType="solid">
        <fgColor rgb="FFFFFFCC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3">
    <xf numFmtId="0" fontId="0" fillId="0" borderId="0"/>
    <xf numFmtId="172" fontId="8" fillId="0" borderId="0">
      <alignment vertical="center"/>
    </xf>
    <xf numFmtId="173" fontId="7" fillId="0" borderId="0">
      <alignment vertical="center"/>
    </xf>
    <xf numFmtId="0" fontId="9" fillId="0" borderId="0"/>
    <xf numFmtId="0" fontId="8" fillId="0" borderId="0"/>
    <xf numFmtId="174" fontId="10" fillId="0" borderId="0"/>
    <xf numFmtId="173" fontId="7" fillId="0" borderId="0">
      <alignment vertical="center"/>
    </xf>
    <xf numFmtId="0" fontId="7" fillId="0" borderId="0"/>
    <xf numFmtId="0" fontId="10" fillId="0" borderId="0"/>
    <xf numFmtId="0" fontId="28" fillId="0" borderId="0"/>
    <xf numFmtId="170" fontId="28" fillId="0" borderId="0"/>
    <xf numFmtId="0" fontId="8" fillId="0" borderId="0"/>
    <xf numFmtId="174" fontId="41" fillId="0" borderId="0"/>
  </cellStyleXfs>
  <cellXfs count="177"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5" fillId="0" borderId="0" xfId="7" applyFont="1" applyAlignment="1">
      <alignment horizontal="center" vertical="center"/>
    </xf>
    <xf numFmtId="164" fontId="12" fillId="6" borderId="1" xfId="1" applyNumberFormat="1" applyFont="1" applyFill="1" applyBorder="1">
      <alignment vertical="center"/>
    </xf>
    <xf numFmtId="165" fontId="1" fillId="2" borderId="1" xfId="6" applyNumberFormat="1" applyFont="1" applyFill="1" applyBorder="1" applyAlignment="1">
      <alignment horizontal="center" vertical="center" wrapText="1"/>
    </xf>
    <xf numFmtId="165" fontId="6" fillId="0" borderId="1" xfId="6" applyNumberFormat="1" applyFont="1" applyBorder="1" applyAlignment="1">
      <alignment vertical="center" wrapText="1"/>
    </xf>
    <xf numFmtId="165" fontId="4" fillId="0" borderId="1" xfId="6" applyNumberFormat="1" applyFont="1" applyBorder="1" applyAlignment="1">
      <alignment vertical="center" wrapText="1"/>
    </xf>
    <xf numFmtId="166" fontId="1" fillId="6" borderId="3" xfId="3" applyNumberFormat="1" applyFont="1" applyFill="1" applyBorder="1" applyAlignment="1">
      <alignment vertical="center"/>
    </xf>
    <xf numFmtId="0" fontId="13" fillId="0" borderId="0" xfId="0" applyFont="1"/>
    <xf numFmtId="14" fontId="4" fillId="0" borderId="1" xfId="6" applyNumberFormat="1" applyFont="1" applyBorder="1" applyAlignment="1">
      <alignment horizontal="center" vertical="center" wrapText="1"/>
    </xf>
    <xf numFmtId="0" fontId="14" fillId="3" borderId="0" xfId="0" applyFont="1" applyFill="1" applyAlignment="1">
      <alignment horizontal="left" vertical="center"/>
    </xf>
    <xf numFmtId="0" fontId="16" fillId="7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49" fontId="15" fillId="3" borderId="2" xfId="0" applyNumberFormat="1" applyFont="1" applyFill="1" applyBorder="1" applyAlignment="1">
      <alignment horizontal="center" vertical="center"/>
    </xf>
    <xf numFmtId="49" fontId="15" fillId="3" borderId="1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 wrapText="1"/>
    </xf>
    <xf numFmtId="167" fontId="17" fillId="5" borderId="1" xfId="1" applyNumberFormat="1" applyFont="1" applyFill="1" applyBorder="1" applyAlignment="1">
      <alignment horizontal="center" vertical="center" wrapText="1"/>
    </xf>
    <xf numFmtId="167" fontId="17" fillId="5" borderId="1" xfId="1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/>
    </xf>
    <xf numFmtId="167" fontId="17" fillId="3" borderId="1" xfId="1" applyNumberFormat="1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left" vertical="center"/>
    </xf>
    <xf numFmtId="0" fontId="17" fillId="3" borderId="0" xfId="0" applyFont="1" applyFill="1" applyAlignment="1">
      <alignment horizontal="center" vertical="center"/>
    </xf>
    <xf numFmtId="167" fontId="17" fillId="3" borderId="0" xfId="1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/>
    </xf>
    <xf numFmtId="0" fontId="18" fillId="4" borderId="0" xfId="0" applyFont="1" applyFill="1" applyAlignment="1">
      <alignment horizontal="left"/>
    </xf>
    <xf numFmtId="49" fontId="14" fillId="3" borderId="0" xfId="0" applyNumberFormat="1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15" fillId="3" borderId="0" xfId="0" applyFont="1" applyFill="1" applyAlignment="1">
      <alignment vertical="center"/>
    </xf>
    <xf numFmtId="0" fontId="17" fillId="3" borderId="0" xfId="0" applyFont="1" applyFill="1" applyAlignment="1">
      <alignment vertical="center"/>
    </xf>
    <xf numFmtId="0" fontId="14" fillId="3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/>
    </xf>
    <xf numFmtId="167" fontId="22" fillId="3" borderId="0" xfId="1" applyNumberFormat="1" applyFont="1" applyFill="1" applyAlignment="1">
      <alignment horizontal="center"/>
    </xf>
    <xf numFmtId="0" fontId="23" fillId="3" borderId="0" xfId="0" applyFont="1" applyFill="1"/>
    <xf numFmtId="0" fontId="15" fillId="3" borderId="0" xfId="0" applyFont="1" applyFill="1" applyAlignment="1">
      <alignment horizontal="center" vertical="center"/>
    </xf>
    <xf numFmtId="0" fontId="17" fillId="7" borderId="1" xfId="0" applyFont="1" applyFill="1" applyBorder="1" applyAlignment="1">
      <alignment vertical="center" wrapText="1"/>
    </xf>
    <xf numFmtId="168" fontId="14" fillId="3" borderId="1" xfId="1" applyNumberFormat="1" applyFont="1" applyFill="1" applyBorder="1" applyAlignment="1">
      <alignment vertical="center" wrapText="1"/>
    </xf>
    <xf numFmtId="168" fontId="14" fillId="2" borderId="1" xfId="1" applyNumberFormat="1" applyFont="1" applyFill="1" applyBorder="1" applyAlignment="1">
      <alignment vertical="center" wrapText="1"/>
    </xf>
    <xf numFmtId="0" fontId="17" fillId="3" borderId="1" xfId="0" applyFont="1" applyFill="1" applyBorder="1" applyAlignment="1">
      <alignment vertical="center"/>
    </xf>
    <xf numFmtId="0" fontId="22" fillId="3" borderId="0" xfId="0" applyFont="1" applyFill="1"/>
    <xf numFmtId="49" fontId="16" fillId="4" borderId="0" xfId="0" applyNumberFormat="1" applyFont="1" applyFill="1" applyAlignment="1">
      <alignment horizontal="center" vertical="center"/>
    </xf>
    <xf numFmtId="49" fontId="18" fillId="4" borderId="0" xfId="0" applyNumberFormat="1" applyFont="1" applyFill="1" applyAlignment="1">
      <alignment horizontal="center"/>
    </xf>
    <xf numFmtId="0" fontId="19" fillId="0" borderId="1" xfId="0" applyFont="1" applyBorder="1"/>
    <xf numFmtId="0" fontId="24" fillId="0" borderId="0" xfId="0" applyFont="1"/>
    <xf numFmtId="49" fontId="20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49" fontId="24" fillId="0" borderId="1" xfId="0" applyNumberFormat="1" applyFont="1" applyBorder="1" applyAlignment="1">
      <alignment horizontal="center"/>
    </xf>
    <xf numFmtId="0" fontId="24" fillId="0" borderId="1" xfId="0" applyFont="1" applyBorder="1"/>
    <xf numFmtId="49" fontId="24" fillId="0" borderId="1" xfId="0" applyNumberFormat="1" applyFont="1" applyBorder="1"/>
    <xf numFmtId="0" fontId="19" fillId="0" borderId="1" xfId="0" applyFont="1" applyBorder="1" applyAlignment="1">
      <alignment horizontal="center"/>
    </xf>
    <xf numFmtId="49" fontId="24" fillId="0" borderId="0" xfId="0" applyNumberFormat="1" applyFont="1"/>
    <xf numFmtId="0" fontId="19" fillId="0" borderId="0" xfId="0" applyFont="1"/>
    <xf numFmtId="169" fontId="17" fillId="5" borderId="1" xfId="1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vertical="center" wrapText="1"/>
    </xf>
    <xf numFmtId="0" fontId="26" fillId="4" borderId="0" xfId="0" applyFont="1" applyFill="1" applyAlignment="1">
      <alignment vertical="center"/>
    </xf>
    <xf numFmtId="0" fontId="26" fillId="3" borderId="0" xfId="0" applyFont="1" applyFill="1" applyAlignment="1">
      <alignment vertical="center"/>
    </xf>
    <xf numFmtId="49" fontId="17" fillId="3" borderId="0" xfId="0" applyNumberFormat="1" applyFont="1" applyFill="1" applyAlignment="1">
      <alignment horizontal="center" wrapText="1"/>
    </xf>
    <xf numFmtId="49" fontId="14" fillId="3" borderId="0" xfId="0" applyNumberFormat="1" applyFont="1" applyFill="1"/>
    <xf numFmtId="49" fontId="16" fillId="3" borderId="0" xfId="0" applyNumberFormat="1" applyFont="1" applyFill="1" applyAlignment="1">
      <alignment horizontal="center" wrapText="1"/>
    </xf>
    <xf numFmtId="49" fontId="18" fillId="3" borderId="0" xfId="0" applyNumberFormat="1" applyFont="1" applyFill="1" applyAlignment="1">
      <alignment horizontal="center" wrapText="1"/>
    </xf>
    <xf numFmtId="14" fontId="26" fillId="4" borderId="0" xfId="0" applyNumberFormat="1" applyFont="1" applyFill="1" applyAlignment="1">
      <alignment vertical="center"/>
    </xf>
    <xf numFmtId="14" fontId="15" fillId="4" borderId="1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/>
    </xf>
    <xf numFmtId="14" fontId="16" fillId="4" borderId="0" xfId="0" applyNumberFormat="1" applyFont="1" applyFill="1" applyAlignment="1">
      <alignment horizontal="center" vertical="center"/>
    </xf>
    <xf numFmtId="14" fontId="14" fillId="3" borderId="0" xfId="0" applyNumberFormat="1" applyFont="1" applyFill="1" applyAlignment="1">
      <alignment vertical="center"/>
    </xf>
    <xf numFmtId="14" fontId="18" fillId="4" borderId="0" xfId="0" applyNumberFormat="1" applyFont="1" applyFill="1" applyAlignment="1">
      <alignment horizontal="center"/>
    </xf>
    <xf numFmtId="168" fontId="27" fillId="3" borderId="1" xfId="1" applyNumberFormat="1" applyFont="1" applyFill="1" applyBorder="1" applyAlignment="1">
      <alignment vertical="center" wrapText="1"/>
    </xf>
    <xf numFmtId="168" fontId="27" fillId="2" borderId="1" xfId="1" applyNumberFormat="1" applyFont="1" applyFill="1" applyBorder="1" applyAlignment="1">
      <alignment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6" fillId="7" borderId="3" xfId="0" applyFont="1" applyFill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170" fontId="17" fillId="7" borderId="1" xfId="10" applyFont="1" applyFill="1" applyBorder="1" applyAlignment="1">
      <alignment horizontal="center" vertical="center" wrapText="1"/>
    </xf>
    <xf numFmtId="49" fontId="29" fillId="3" borderId="0" xfId="0" applyNumberFormat="1" applyFont="1" applyFill="1" applyAlignment="1">
      <alignment horizontal="center" wrapText="1"/>
    </xf>
    <xf numFmtId="49" fontId="30" fillId="3" borderId="0" xfId="0" applyNumberFormat="1" applyFont="1" applyFill="1" applyAlignment="1">
      <alignment vertical="center"/>
    </xf>
    <xf numFmtId="0" fontId="30" fillId="3" borderId="0" xfId="0" applyFont="1" applyFill="1" applyAlignment="1">
      <alignment horizontal="left" vertical="center"/>
    </xf>
    <xf numFmtId="0" fontId="29" fillId="4" borderId="0" xfId="0" applyFont="1" applyFill="1" applyAlignment="1">
      <alignment vertical="center"/>
    </xf>
    <xf numFmtId="14" fontId="29" fillId="4" borderId="0" xfId="0" applyNumberFormat="1" applyFont="1" applyFill="1" applyAlignment="1">
      <alignment vertical="center"/>
    </xf>
    <xf numFmtId="0" fontId="29" fillId="3" borderId="0" xfId="0" applyFont="1" applyFill="1" applyAlignment="1">
      <alignment vertical="center"/>
    </xf>
    <xf numFmtId="0" fontId="29" fillId="3" borderId="0" xfId="0" applyFont="1" applyFill="1" applyAlignment="1">
      <alignment horizontal="center" vertical="center"/>
    </xf>
    <xf numFmtId="0" fontId="31" fillId="3" borderId="0" xfId="0" applyFont="1" applyFill="1" applyAlignment="1">
      <alignment vertical="center"/>
    </xf>
    <xf numFmtId="0" fontId="30" fillId="3" borderId="0" xfId="0" applyFont="1" applyFill="1" applyAlignment="1">
      <alignment vertical="center"/>
    </xf>
    <xf numFmtId="49" fontId="30" fillId="3" borderId="0" xfId="0" applyNumberFormat="1" applyFont="1" applyFill="1"/>
    <xf numFmtId="0" fontId="29" fillId="7" borderId="3" xfId="0" applyFont="1" applyFill="1" applyBorder="1" applyAlignment="1">
      <alignment horizontal="center" vertical="center" wrapText="1"/>
    </xf>
    <xf numFmtId="0" fontId="29" fillId="7" borderId="6" xfId="0" applyFont="1" applyFill="1" applyBorder="1" applyAlignment="1">
      <alignment horizontal="center" vertical="center" wrapText="1"/>
    </xf>
    <xf numFmtId="0" fontId="32" fillId="7" borderId="3" xfId="0" applyFont="1" applyFill="1" applyBorder="1" applyAlignment="1">
      <alignment horizontal="center" vertical="center" wrapText="1"/>
    </xf>
    <xf numFmtId="0" fontId="32" fillId="7" borderId="5" xfId="0" applyFont="1" applyFill="1" applyBorder="1" applyAlignment="1">
      <alignment horizontal="center" vertical="center" wrapText="1"/>
    </xf>
    <xf numFmtId="0" fontId="32" fillId="7" borderId="6" xfId="0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horizontal="center" vertical="center" wrapText="1"/>
    </xf>
    <xf numFmtId="0" fontId="30" fillId="3" borderId="0" xfId="0" applyFont="1" applyFill="1" applyAlignment="1">
      <alignment horizontal="center" vertical="center"/>
    </xf>
    <xf numFmtId="170" fontId="29" fillId="7" borderId="1" xfId="1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vertical="center" wrapText="1"/>
    </xf>
    <xf numFmtId="0" fontId="29" fillId="9" borderId="1" xfId="0" applyFont="1" applyFill="1" applyBorder="1" applyAlignment="1">
      <alignment vertical="center" wrapText="1"/>
    </xf>
    <xf numFmtId="0" fontId="29" fillId="7" borderId="1" xfId="0" applyFont="1" applyFill="1" applyBorder="1" applyAlignment="1">
      <alignment horizontal="center" vertical="center" wrapText="1"/>
    </xf>
    <xf numFmtId="49" fontId="31" fillId="3" borderId="2" xfId="0" applyNumberFormat="1" applyFont="1" applyFill="1" applyBorder="1" applyAlignment="1">
      <alignment horizontal="center" vertical="center"/>
    </xf>
    <xf numFmtId="49" fontId="31" fillId="3" borderId="1" xfId="0" applyNumberFormat="1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left" vertical="center"/>
    </xf>
    <xf numFmtId="0" fontId="31" fillId="4" borderId="1" xfId="0" applyFont="1" applyFill="1" applyBorder="1" applyAlignment="1">
      <alignment horizontal="center" vertical="center" wrapText="1"/>
    </xf>
    <xf numFmtId="14" fontId="31" fillId="4" borderId="1" xfId="0" applyNumberFormat="1" applyFont="1" applyFill="1" applyBorder="1" applyAlignment="1">
      <alignment horizontal="center" vertical="center" wrapText="1"/>
    </xf>
    <xf numFmtId="168" fontId="30" fillId="3" borderId="1" xfId="1" applyNumberFormat="1" applyFont="1" applyFill="1" applyBorder="1" applyAlignment="1">
      <alignment vertical="center" wrapText="1"/>
    </xf>
    <xf numFmtId="168" fontId="30" fillId="2" borderId="1" xfId="1" applyNumberFormat="1" applyFont="1" applyFill="1" applyBorder="1" applyAlignment="1">
      <alignment vertical="center" wrapText="1"/>
    </xf>
    <xf numFmtId="167" fontId="29" fillId="5" borderId="1" xfId="1" applyNumberFormat="1" applyFont="1" applyFill="1" applyBorder="1" applyAlignment="1">
      <alignment horizontal="center" vertical="center" wrapText="1"/>
    </xf>
    <xf numFmtId="167" fontId="29" fillId="5" borderId="1" xfId="1" applyNumberFormat="1" applyFont="1" applyFill="1" applyBorder="1" applyAlignment="1">
      <alignment vertical="center" wrapText="1"/>
    </xf>
    <xf numFmtId="169" fontId="29" fillId="5" borderId="1" xfId="1" applyNumberFormat="1" applyFont="1" applyFill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/>
    </xf>
    <xf numFmtId="14" fontId="32" fillId="4" borderId="1" xfId="0" applyNumberFormat="1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vertical="center"/>
    </xf>
    <xf numFmtId="167" fontId="29" fillId="3" borderId="1" xfId="1" applyNumberFormat="1" applyFont="1" applyFill="1" applyBorder="1" applyAlignment="1">
      <alignment horizontal="center" vertical="center"/>
    </xf>
    <xf numFmtId="49" fontId="32" fillId="3" borderId="0" xfId="0" applyNumberFormat="1" applyFont="1" applyFill="1" applyAlignment="1">
      <alignment horizontal="center" wrapText="1"/>
    </xf>
    <xf numFmtId="49" fontId="32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horizontal="left" vertical="center"/>
    </xf>
    <xf numFmtId="0" fontId="32" fillId="4" borderId="0" xfId="0" applyFont="1" applyFill="1" applyAlignment="1">
      <alignment horizontal="center" vertical="center"/>
    </xf>
    <xf numFmtId="14" fontId="32" fillId="4" borderId="0" xfId="0" applyNumberFormat="1" applyFont="1" applyFill="1" applyAlignment="1">
      <alignment horizontal="center" vertical="center"/>
    </xf>
    <xf numFmtId="167" fontId="29" fillId="3" borderId="0" xfId="1" applyNumberFormat="1" applyFont="1" applyFill="1" applyAlignment="1">
      <alignment horizontal="center" vertical="center"/>
    </xf>
    <xf numFmtId="14" fontId="30" fillId="3" borderId="0" xfId="0" applyNumberFormat="1" applyFont="1" applyFill="1" applyAlignment="1">
      <alignment vertical="center"/>
    </xf>
    <xf numFmtId="49" fontId="33" fillId="3" borderId="0" xfId="0" applyNumberFormat="1" applyFont="1" applyFill="1" applyAlignment="1">
      <alignment horizontal="center" wrapText="1"/>
    </xf>
    <xf numFmtId="49" fontId="33" fillId="4" borderId="0" xfId="0" applyNumberFormat="1" applyFont="1" applyFill="1" applyAlignment="1">
      <alignment horizontal="center"/>
    </xf>
    <xf numFmtId="0" fontId="33" fillId="4" borderId="0" xfId="0" applyFont="1" applyFill="1" applyAlignment="1">
      <alignment horizontal="left"/>
    </xf>
    <xf numFmtId="0" fontId="33" fillId="4" borderId="0" xfId="0" applyFont="1" applyFill="1" applyAlignment="1">
      <alignment horizontal="center"/>
    </xf>
    <xf numFmtId="14" fontId="33" fillId="4" borderId="0" xfId="0" applyNumberFormat="1" applyFont="1" applyFill="1" applyAlignment="1">
      <alignment horizontal="center"/>
    </xf>
    <xf numFmtId="0" fontId="34" fillId="3" borderId="0" xfId="0" applyFont="1" applyFill="1"/>
    <xf numFmtId="0" fontId="34" fillId="3" borderId="0" xfId="0" applyFont="1" applyFill="1" applyAlignment="1">
      <alignment horizontal="center"/>
    </xf>
    <xf numFmtId="167" fontId="34" fillId="3" borderId="0" xfId="1" applyNumberFormat="1" applyFont="1" applyFill="1" applyAlignment="1">
      <alignment horizontal="center"/>
    </xf>
    <xf numFmtId="0" fontId="35" fillId="3" borderId="0" xfId="0" applyFont="1" applyFill="1"/>
    <xf numFmtId="0" fontId="31" fillId="3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left" vertical="center"/>
    </xf>
    <xf numFmtId="0" fontId="30" fillId="2" borderId="1" xfId="0" applyFont="1" applyFill="1" applyBorder="1" applyAlignment="1">
      <alignment horizontal="left" vertical="center"/>
    </xf>
    <xf numFmtId="0" fontId="39" fillId="0" borderId="1" xfId="0" applyFont="1" applyBorder="1" applyAlignment="1">
      <alignment horizontal="center" vertical="center"/>
    </xf>
    <xf numFmtId="0" fontId="36" fillId="10" borderId="8" xfId="0" applyFont="1" applyFill="1" applyBorder="1" applyAlignment="1">
      <alignment horizontal="center" vertical="center"/>
    </xf>
    <xf numFmtId="49" fontId="37" fillId="10" borderId="8" xfId="0" applyNumberFormat="1" applyFont="1" applyFill="1" applyBorder="1" applyAlignment="1">
      <alignment horizontal="center" vertical="center"/>
    </xf>
    <xf numFmtId="0" fontId="38" fillId="10" borderId="8" xfId="0" applyFont="1" applyFill="1" applyBorder="1" applyAlignment="1">
      <alignment horizontal="center" vertical="center"/>
    </xf>
    <xf numFmtId="171" fontId="36" fillId="10" borderId="8" xfId="0" applyNumberFormat="1" applyFont="1" applyFill="1" applyBorder="1" applyAlignment="1">
      <alignment horizontal="center" vertical="center"/>
    </xf>
    <xf numFmtId="49" fontId="36" fillId="0" borderId="1" xfId="0" applyNumberFormat="1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39" fillId="11" borderId="1" xfId="12" applyNumberFormat="1" applyFont="1" applyFill="1" applyBorder="1" applyAlignment="1">
      <alignment horizontal="center" vertical="center"/>
    </xf>
    <xf numFmtId="0" fontId="39" fillId="12" borderId="1" xfId="12" applyNumberFormat="1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readingOrder="1"/>
    </xf>
    <xf numFmtId="0" fontId="39" fillId="13" borderId="1" xfId="12" applyNumberFormat="1" applyFont="1" applyFill="1" applyBorder="1" applyAlignment="1">
      <alignment horizontal="center" vertical="center"/>
    </xf>
    <xf numFmtId="171" fontId="36" fillId="2" borderId="8" xfId="0" applyNumberFormat="1" applyFont="1" applyFill="1" applyBorder="1" applyAlignment="1">
      <alignment horizontal="center" vertical="center"/>
    </xf>
    <xf numFmtId="0" fontId="0" fillId="0" borderId="0" xfId="0"/>
    <xf numFmtId="0" fontId="16" fillId="7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4" xfId="0" applyBorder="1"/>
    <xf numFmtId="0" fontId="17" fillId="7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5" xfId="0" applyBorder="1"/>
    <xf numFmtId="0" fontId="16" fillId="4" borderId="1" xfId="0" applyFont="1" applyFill="1" applyBorder="1" applyAlignment="1">
      <alignment horizontal="center" vertical="center"/>
    </xf>
    <xf numFmtId="49" fontId="16" fillId="7" borderId="1" xfId="0" applyNumberFormat="1" applyFont="1" applyFill="1" applyBorder="1" applyAlignment="1">
      <alignment horizontal="center" vertical="center" wrapText="1"/>
    </xf>
    <xf numFmtId="14" fontId="16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170" fontId="17" fillId="7" borderId="1" xfId="10" applyFont="1" applyFill="1" applyBorder="1" applyAlignment="1">
      <alignment vertical="center" wrapText="1"/>
    </xf>
    <xf numFmtId="0" fontId="25" fillId="3" borderId="0" xfId="0" applyFont="1" applyFill="1" applyAlignment="1">
      <alignment horizontal="center"/>
    </xf>
    <xf numFmtId="49" fontId="14" fillId="3" borderId="0" xfId="0" applyNumberFormat="1" applyFont="1" applyFill="1" applyAlignment="1">
      <alignment vertical="center"/>
    </xf>
    <xf numFmtId="0" fontId="14" fillId="3" borderId="0" xfId="0" applyFont="1" applyFill="1" applyAlignment="1">
      <alignment horizontal="left" vertical="center"/>
    </xf>
    <xf numFmtId="0" fontId="14" fillId="3" borderId="0" xfId="0" applyFont="1" applyFill="1" applyAlignment="1">
      <alignment vertical="center"/>
    </xf>
    <xf numFmtId="14" fontId="14" fillId="3" borderId="0" xfId="0" applyNumberFormat="1" applyFont="1" applyFill="1" applyAlignment="1">
      <alignment vertical="center"/>
    </xf>
    <xf numFmtId="0" fontId="15" fillId="3" borderId="0" xfId="0" applyFont="1" applyFill="1" applyAlignment="1">
      <alignment vertical="center"/>
    </xf>
    <xf numFmtId="0" fontId="32" fillId="7" borderId="1" xfId="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170" fontId="29" fillId="7" borderId="1" xfId="10" applyFont="1" applyFill="1" applyBorder="1" applyAlignment="1">
      <alignment vertical="center" wrapText="1"/>
    </xf>
    <xf numFmtId="49" fontId="32" fillId="7" borderId="1" xfId="0" applyNumberFormat="1" applyFont="1" applyFill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/>
    </xf>
    <xf numFmtId="14" fontId="32" fillId="7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horizontal="left" vertical="center" wrapText="1"/>
    </xf>
    <xf numFmtId="49" fontId="30" fillId="3" borderId="0" xfId="0" applyNumberFormat="1" applyFont="1" applyFill="1" applyAlignment="1">
      <alignment vertical="center"/>
    </xf>
    <xf numFmtId="0" fontId="30" fillId="3" borderId="0" xfId="0" applyFont="1" applyFill="1" applyAlignment="1">
      <alignment horizontal="left" vertical="center"/>
    </xf>
    <xf numFmtId="0" fontId="30" fillId="3" borderId="0" xfId="0" applyFont="1" applyFill="1" applyAlignment="1">
      <alignment vertical="center"/>
    </xf>
    <xf numFmtId="14" fontId="30" fillId="3" borderId="0" xfId="0" applyNumberFormat="1" applyFont="1" applyFill="1" applyAlignment="1">
      <alignment vertical="center"/>
    </xf>
    <xf numFmtId="0" fontId="31" fillId="3" borderId="0" xfId="0" applyFont="1" applyFill="1" applyAlignment="1">
      <alignment vertical="center"/>
    </xf>
    <xf numFmtId="0" fontId="21" fillId="0" borderId="1" xfId="0" applyFont="1" applyBorder="1" applyAlignment="1">
      <alignment horizontal="center"/>
    </xf>
    <xf numFmtId="0" fontId="11" fillId="0" borderId="0" xfId="7" applyFont="1" applyAlignment="1">
      <alignment horizontal="center" vertical="center"/>
    </xf>
    <xf numFmtId="0" fontId="3" fillId="0" borderId="0" xfId="0" applyFont="1"/>
  </cellXfs>
  <cellStyles count="13">
    <cellStyle name="Comma" xfId="1" builtinId="3"/>
    <cellStyle name="Comma [0]" xfId="10" builtinId="6"/>
    <cellStyle name="Comma 16 2" xfId="12" xr:uid="{00000000-0005-0000-0000-00000C000000}"/>
    <cellStyle name="Comma 2" xfId="5" xr:uid="{00000000-0005-0000-0000-000005000000}"/>
    <cellStyle name="Comma 6" xfId="2" xr:uid="{00000000-0005-0000-0000-000002000000}"/>
    <cellStyle name="Comma 7" xfId="6" xr:uid="{00000000-0005-0000-0000-000006000000}"/>
    <cellStyle name="Normal" xfId="0" builtinId="0"/>
    <cellStyle name="Normal 2" xfId="3" xr:uid="{00000000-0005-0000-0000-000003000000}"/>
    <cellStyle name="Normal 2 12 2 3 3" xfId="11" xr:uid="{00000000-0005-0000-0000-00000B000000}"/>
    <cellStyle name="Normal 2 2" xfId="7" xr:uid="{00000000-0005-0000-0000-000007000000}"/>
    <cellStyle name="Normal 3" xfId="9" xr:uid="{00000000-0005-0000-0000-000009000000}"/>
    <cellStyle name="Normal 3 2" xfId="8" xr:uid="{00000000-0005-0000-0000-000008000000}"/>
    <cellStyle name="Normal 7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8" name="image1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132716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1" name="image1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0</xdr:col>
      <xdr:colOff>185238</xdr:colOff>
      <xdr:row>0</xdr:row>
      <xdr:rowOff>132716</xdr:rowOff>
    </xdr:from>
    <xdr:ext cx="2753903" cy="506820"/>
    <xdr:pic>
      <xdr:nvPicPr>
        <xdr:cNvPr id="8" name="image1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5238" y="0"/>
          <a:ext cx="2753903" cy="5068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6135</xdr:colOff>
      <xdr:row>0</xdr:row>
      <xdr:rowOff>99101</xdr:rowOff>
    </xdr:from>
    <xdr:to>
      <xdr:col>1</xdr:col>
      <xdr:colOff>1261030</xdr:colOff>
      <xdr:row>0</xdr:row>
      <xdr:rowOff>333375</xdr:rowOff>
    </xdr:to>
    <xdr:pic>
      <xdr:nvPicPr>
        <xdr:cNvPr id="8" name="Picture 7" descr="logoVFICServices2017.png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35" y="99101"/>
          <a:ext cx="1635895" cy="2342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Q972"/>
  <sheetViews>
    <sheetView zoomScale="40" zoomScaleNormal="40" zoomScaleSheetLayoutView="40" workbookViewId="0">
      <pane xSplit="3" ySplit="6" topLeftCell="D7" activePane="bottomRight" state="frozen"/>
      <selection activeCell="G14" sqref="G14"/>
      <selection pane="topRight" activeCell="G14" sqref="G14"/>
      <selection pane="bottomLeft" activeCell="G14" sqref="G14"/>
      <selection pane="bottomRight" activeCell="T20" sqref="T20"/>
    </sheetView>
  </sheetViews>
  <sheetFormatPr baseColWidth="10" defaultColWidth="11.1640625" defaultRowHeight="15" customHeight="1"/>
  <cols>
    <col min="1" max="1" width="11.1640625" style="61" customWidth="1"/>
    <col min="2" max="2" width="24.1640625" style="29" customWidth="1"/>
    <col min="3" max="3" width="35.1640625" style="11" customWidth="1"/>
    <col min="4" max="5" width="25.1640625" style="30" customWidth="1"/>
    <col min="6" max="6" width="33.33203125" style="68" hidden="1" customWidth="1"/>
    <col min="7" max="18" width="7.83203125" style="30" hidden="1" customWidth="1"/>
    <col min="19" max="30" width="13.1640625" style="30" customWidth="1"/>
    <col min="31" max="32" width="7.83203125" style="30" customWidth="1"/>
    <col min="33" max="62" width="7.83203125" style="30" hidden="1" customWidth="1"/>
    <col min="63" max="68" width="8.1640625" style="30" hidden="1" customWidth="1"/>
    <col min="69" max="69" width="18.1640625" style="31" hidden="1" customWidth="1"/>
    <col min="70" max="72" width="15.1640625" style="31" hidden="1" customWidth="1"/>
    <col min="73" max="73" width="17.6640625" style="31" customWidth="1"/>
    <col min="74" max="76" width="15.1640625" style="31" customWidth="1"/>
    <col min="77" max="77" width="26.1640625" style="31" customWidth="1"/>
    <col min="78" max="78" width="11.1640625" style="30" customWidth="1"/>
    <col min="79" max="16384" width="11.1640625" style="30"/>
  </cols>
  <sheetData>
    <row r="1" spans="1:95" ht="38" hidden="1" customHeight="1">
      <c r="A1" s="60"/>
      <c r="D1" s="58" t="s">
        <v>20</v>
      </c>
      <c r="E1" s="58"/>
      <c r="F1" s="64"/>
      <c r="G1" s="59"/>
      <c r="H1" s="59"/>
      <c r="I1" s="59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24"/>
      <c r="BP1" s="24"/>
    </row>
    <row r="2" spans="1:95" ht="38" hidden="1" customHeight="1">
      <c r="D2" s="58" t="s">
        <v>21</v>
      </c>
      <c r="E2" s="58"/>
      <c r="F2" s="64"/>
      <c r="G2" s="59"/>
      <c r="H2" s="59"/>
      <c r="I2" s="59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24"/>
      <c r="BP2" s="24"/>
    </row>
    <row r="3" spans="1:95" ht="72" customHeight="1">
      <c r="A3" s="156" t="s">
        <v>22</v>
      </c>
      <c r="B3" s="157"/>
      <c r="C3" s="158"/>
      <c r="D3" s="159"/>
      <c r="E3" s="159"/>
      <c r="F3" s="160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  <c r="AK3" s="159"/>
      <c r="AL3" s="159"/>
      <c r="AM3" s="159"/>
      <c r="AN3" s="159"/>
      <c r="AO3" s="159"/>
      <c r="AP3" s="159"/>
      <c r="AQ3" s="159"/>
      <c r="AR3" s="159"/>
      <c r="AS3" s="159"/>
      <c r="AT3" s="159"/>
      <c r="AU3" s="159"/>
      <c r="AV3" s="159"/>
      <c r="AW3" s="159"/>
      <c r="AX3" s="159"/>
      <c r="AY3" s="159"/>
      <c r="AZ3" s="159"/>
      <c r="BA3" s="159"/>
      <c r="BB3" s="159"/>
      <c r="BC3" s="159"/>
      <c r="BD3" s="159"/>
      <c r="BE3" s="159"/>
      <c r="BF3" s="159"/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61"/>
      <c r="BR3" s="161"/>
      <c r="BS3" s="161"/>
      <c r="BT3" s="161"/>
      <c r="BU3" s="161"/>
      <c r="BV3" s="161"/>
      <c r="BW3" s="161"/>
      <c r="BX3" s="161"/>
      <c r="BY3" s="161"/>
    </row>
    <row r="4" spans="1:95" s="33" customFormat="1" ht="41" customHeight="1">
      <c r="A4" s="152" t="s">
        <v>0</v>
      </c>
      <c r="B4" s="152" t="s">
        <v>1</v>
      </c>
      <c r="C4" s="154" t="s">
        <v>23</v>
      </c>
      <c r="D4" s="145" t="s">
        <v>24</v>
      </c>
      <c r="E4" s="145" t="s">
        <v>25</v>
      </c>
      <c r="F4" s="153" t="s">
        <v>26</v>
      </c>
      <c r="G4" s="148">
        <v>26</v>
      </c>
      <c r="H4" s="149"/>
      <c r="I4" s="148">
        <v>27</v>
      </c>
      <c r="J4" s="149"/>
      <c r="K4" s="148">
        <v>28</v>
      </c>
      <c r="L4" s="149"/>
      <c r="M4" s="148">
        <v>29</v>
      </c>
      <c r="N4" s="149"/>
      <c r="O4" s="148">
        <v>30</v>
      </c>
      <c r="P4" s="149"/>
      <c r="Q4" s="148">
        <v>31</v>
      </c>
      <c r="R4" s="149"/>
      <c r="S4" s="148">
        <v>1</v>
      </c>
      <c r="T4" s="149"/>
      <c r="U4" s="148">
        <v>2</v>
      </c>
      <c r="V4" s="149"/>
      <c r="W4" s="148">
        <v>3</v>
      </c>
      <c r="X4" s="149"/>
      <c r="Y4" s="148">
        <v>4</v>
      </c>
      <c r="Z4" s="149"/>
      <c r="AA4" s="148">
        <v>5</v>
      </c>
      <c r="AB4" s="149"/>
      <c r="AC4" s="148">
        <v>6</v>
      </c>
      <c r="AD4" s="149"/>
      <c r="AE4" s="148">
        <v>7</v>
      </c>
      <c r="AF4" s="149"/>
      <c r="AG4" s="148">
        <v>8</v>
      </c>
      <c r="AH4" s="149"/>
      <c r="AI4" s="148">
        <v>9</v>
      </c>
      <c r="AJ4" s="149"/>
      <c r="AK4" s="148">
        <v>10</v>
      </c>
      <c r="AL4" s="149"/>
      <c r="AM4" s="148">
        <v>11</v>
      </c>
      <c r="AN4" s="149"/>
      <c r="AO4" s="148">
        <v>12</v>
      </c>
      <c r="AP4" s="149"/>
      <c r="AQ4" s="148">
        <v>13</v>
      </c>
      <c r="AR4" s="149"/>
      <c r="AS4" s="148">
        <v>14</v>
      </c>
      <c r="AT4" s="149"/>
      <c r="AU4" s="148">
        <v>15</v>
      </c>
      <c r="AV4" s="149"/>
      <c r="AW4" s="148">
        <v>16</v>
      </c>
      <c r="AX4" s="149"/>
      <c r="AY4" s="148">
        <v>17</v>
      </c>
      <c r="AZ4" s="149"/>
      <c r="BA4" s="148">
        <v>18</v>
      </c>
      <c r="BB4" s="149"/>
      <c r="BC4" s="148">
        <v>19</v>
      </c>
      <c r="BD4" s="149"/>
      <c r="BE4" s="148">
        <v>20</v>
      </c>
      <c r="BF4" s="149"/>
      <c r="BG4" s="148">
        <v>21</v>
      </c>
      <c r="BH4" s="149"/>
      <c r="BI4" s="148">
        <v>22</v>
      </c>
      <c r="BJ4" s="149"/>
      <c r="BK4" s="148">
        <v>23</v>
      </c>
      <c r="BL4" s="149"/>
      <c r="BM4" s="148">
        <v>24</v>
      </c>
      <c r="BN4" s="149"/>
      <c r="BO4" s="148">
        <v>25</v>
      </c>
      <c r="BP4" s="149"/>
      <c r="BQ4" s="145" t="s">
        <v>27</v>
      </c>
      <c r="BR4" s="150"/>
      <c r="BS4" s="150"/>
      <c r="BT4" s="149"/>
      <c r="BU4" s="145" t="s">
        <v>28</v>
      </c>
      <c r="BV4" s="150"/>
      <c r="BW4" s="150"/>
      <c r="BX4" s="149"/>
      <c r="BY4" s="12"/>
      <c r="CL4" s="24"/>
      <c r="CM4" s="24"/>
      <c r="CN4" s="24"/>
      <c r="CO4" s="24"/>
      <c r="CP4" s="24"/>
      <c r="CQ4" s="24"/>
    </row>
    <row r="5" spans="1:95" s="33" customFormat="1" ht="41" customHeight="1">
      <c r="A5" s="146"/>
      <c r="B5" s="146"/>
      <c r="C5" s="146"/>
      <c r="D5" s="146"/>
      <c r="E5" s="146"/>
      <c r="F5" s="146"/>
      <c r="G5" s="72"/>
      <c r="H5" s="73"/>
      <c r="I5" s="72"/>
      <c r="J5" s="73"/>
      <c r="K5" s="72"/>
      <c r="L5" s="73"/>
      <c r="M5" s="72"/>
      <c r="N5" s="73"/>
      <c r="O5" s="72"/>
      <c r="P5" s="73"/>
      <c r="Q5" s="72"/>
      <c r="R5" s="73"/>
      <c r="S5" s="77">
        <v>43750</v>
      </c>
      <c r="T5" s="77">
        <v>60000</v>
      </c>
      <c r="U5" s="77">
        <v>43750</v>
      </c>
      <c r="V5" s="77">
        <v>60000</v>
      </c>
      <c r="W5" s="77">
        <v>43750</v>
      </c>
      <c r="X5" s="77">
        <v>60000</v>
      </c>
      <c r="Y5" s="77">
        <v>43750</v>
      </c>
      <c r="Z5" s="77">
        <v>60000</v>
      </c>
      <c r="AA5" s="77">
        <v>43750</v>
      </c>
      <c r="AB5" s="77">
        <v>60000</v>
      </c>
      <c r="AC5" s="77">
        <v>43750</v>
      </c>
      <c r="AD5" s="77">
        <v>60000</v>
      </c>
      <c r="AE5" s="155">
        <v>87500</v>
      </c>
      <c r="AF5" s="149"/>
      <c r="AG5" s="72"/>
      <c r="AH5" s="73"/>
      <c r="AI5" s="72"/>
      <c r="AJ5" s="73"/>
      <c r="AK5" s="72"/>
      <c r="AL5" s="73"/>
      <c r="AM5" s="72"/>
      <c r="AN5" s="73"/>
      <c r="AO5" s="72"/>
      <c r="AP5" s="73"/>
      <c r="AQ5" s="72"/>
      <c r="AR5" s="73"/>
      <c r="AS5" s="72"/>
      <c r="AT5" s="73"/>
      <c r="AU5" s="72"/>
      <c r="AV5" s="73"/>
      <c r="AW5" s="72"/>
      <c r="AX5" s="73"/>
      <c r="AY5" s="72"/>
      <c r="AZ5" s="73"/>
      <c r="BA5" s="72"/>
      <c r="BB5" s="73"/>
      <c r="BC5" s="72"/>
      <c r="BD5" s="73"/>
      <c r="BE5" s="72"/>
      <c r="BF5" s="73"/>
      <c r="BG5" s="72"/>
      <c r="BH5" s="73"/>
      <c r="BI5" s="72"/>
      <c r="BJ5" s="73"/>
      <c r="BK5" s="72"/>
      <c r="BL5" s="73"/>
      <c r="BM5" s="72"/>
      <c r="BN5" s="73"/>
      <c r="BO5" s="72"/>
      <c r="BP5" s="73"/>
      <c r="BQ5" s="74"/>
      <c r="BR5" s="75"/>
      <c r="BS5" s="75"/>
      <c r="BT5" s="76"/>
      <c r="BU5" s="74"/>
      <c r="BV5" s="75"/>
      <c r="BW5" s="75"/>
      <c r="BX5" s="76"/>
      <c r="BY5" s="12"/>
      <c r="CL5" s="24"/>
      <c r="CM5" s="24"/>
      <c r="CN5" s="24"/>
      <c r="CO5" s="24"/>
      <c r="CP5" s="24"/>
      <c r="CQ5" s="24"/>
    </row>
    <row r="6" spans="1:95" ht="39.5" customHeight="1">
      <c r="A6" s="147"/>
      <c r="B6" s="147"/>
      <c r="C6" s="147"/>
      <c r="D6" s="147"/>
      <c r="E6" s="147"/>
      <c r="F6" s="147"/>
      <c r="G6" s="38" t="s">
        <v>29</v>
      </c>
      <c r="H6" s="38" t="s">
        <v>30</v>
      </c>
      <c r="I6" s="38" t="s">
        <v>29</v>
      </c>
      <c r="J6" s="38" t="s">
        <v>30</v>
      </c>
      <c r="K6" s="38" t="s">
        <v>29</v>
      </c>
      <c r="L6" s="38" t="s">
        <v>30</v>
      </c>
      <c r="M6" s="38" t="s">
        <v>29</v>
      </c>
      <c r="N6" s="38" t="s">
        <v>30</v>
      </c>
      <c r="O6" s="38" t="s">
        <v>29</v>
      </c>
      <c r="P6" s="38" t="s">
        <v>30</v>
      </c>
      <c r="Q6" s="57" t="s">
        <v>31</v>
      </c>
      <c r="R6" s="57" t="s">
        <v>30</v>
      </c>
      <c r="S6" s="38" t="s">
        <v>29</v>
      </c>
      <c r="T6" s="38" t="s">
        <v>30</v>
      </c>
      <c r="U6" s="38" t="s">
        <v>29</v>
      </c>
      <c r="V6" s="38" t="s">
        <v>30</v>
      </c>
      <c r="W6" s="38" t="s">
        <v>29</v>
      </c>
      <c r="X6" s="38" t="s">
        <v>30</v>
      </c>
      <c r="Y6" s="38" t="s">
        <v>29</v>
      </c>
      <c r="Z6" s="38" t="s">
        <v>30</v>
      </c>
      <c r="AA6" s="38" t="s">
        <v>29</v>
      </c>
      <c r="AB6" s="38" t="s">
        <v>30</v>
      </c>
      <c r="AC6" s="38" t="s">
        <v>29</v>
      </c>
      <c r="AD6" s="38" t="s">
        <v>30</v>
      </c>
      <c r="AE6" s="57" t="s">
        <v>31</v>
      </c>
      <c r="AF6" s="57" t="s">
        <v>30</v>
      </c>
      <c r="AG6" s="38" t="s">
        <v>29</v>
      </c>
      <c r="AH6" s="38" t="s">
        <v>30</v>
      </c>
      <c r="AI6" s="38" t="s">
        <v>29</v>
      </c>
      <c r="AJ6" s="38" t="s">
        <v>30</v>
      </c>
      <c r="AK6" s="38" t="s">
        <v>29</v>
      </c>
      <c r="AL6" s="38" t="s">
        <v>30</v>
      </c>
      <c r="AM6" s="38" t="s">
        <v>29</v>
      </c>
      <c r="AN6" s="38" t="s">
        <v>30</v>
      </c>
      <c r="AO6" s="38" t="s">
        <v>29</v>
      </c>
      <c r="AP6" s="38" t="s">
        <v>30</v>
      </c>
      <c r="AQ6" s="38" t="s">
        <v>29</v>
      </c>
      <c r="AR6" s="38" t="s">
        <v>30</v>
      </c>
      <c r="AS6" s="57" t="s">
        <v>31</v>
      </c>
      <c r="AT6" s="57" t="s">
        <v>30</v>
      </c>
      <c r="AU6" s="38" t="s">
        <v>29</v>
      </c>
      <c r="AV6" s="38" t="s">
        <v>30</v>
      </c>
      <c r="AW6" s="38" t="s">
        <v>29</v>
      </c>
      <c r="AX6" s="38" t="s">
        <v>30</v>
      </c>
      <c r="AY6" s="38" t="s">
        <v>29</v>
      </c>
      <c r="AZ6" s="38" t="s">
        <v>30</v>
      </c>
      <c r="BA6" s="38" t="s">
        <v>29</v>
      </c>
      <c r="BB6" s="38" t="s">
        <v>30</v>
      </c>
      <c r="BC6" s="38" t="s">
        <v>29</v>
      </c>
      <c r="BD6" s="38" t="s">
        <v>30</v>
      </c>
      <c r="BE6" s="38" t="s">
        <v>29</v>
      </c>
      <c r="BF6" s="38" t="s">
        <v>30</v>
      </c>
      <c r="BG6" s="57" t="s">
        <v>31</v>
      </c>
      <c r="BH6" s="57" t="s">
        <v>30</v>
      </c>
      <c r="BI6" s="38" t="s">
        <v>29</v>
      </c>
      <c r="BJ6" s="38" t="s">
        <v>30</v>
      </c>
      <c r="BK6" s="38" t="s">
        <v>29</v>
      </c>
      <c r="BL6" s="38" t="s">
        <v>30</v>
      </c>
      <c r="BM6" s="38" t="s">
        <v>29</v>
      </c>
      <c r="BN6" s="38" t="s">
        <v>30</v>
      </c>
      <c r="BO6" s="38" t="s">
        <v>29</v>
      </c>
      <c r="BP6" s="38" t="s">
        <v>30</v>
      </c>
      <c r="BQ6" s="13" t="s">
        <v>29</v>
      </c>
      <c r="BR6" s="13" t="s">
        <v>30</v>
      </c>
      <c r="BS6" s="13" t="s">
        <v>31</v>
      </c>
      <c r="BT6" s="13" t="s">
        <v>32</v>
      </c>
      <c r="BU6" s="13" t="s">
        <v>29</v>
      </c>
      <c r="BV6" s="13" t="s">
        <v>30</v>
      </c>
      <c r="BW6" s="13" t="s">
        <v>31</v>
      </c>
      <c r="BX6" s="13" t="s">
        <v>32</v>
      </c>
      <c r="BY6" s="13" t="s">
        <v>33</v>
      </c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2"/>
      <c r="CM6" s="32"/>
      <c r="CN6" s="32"/>
      <c r="CO6" s="32"/>
      <c r="CP6" s="32"/>
      <c r="CQ6" s="32"/>
    </row>
    <row r="7" spans="1:95" ht="44.25" customHeight="1">
      <c r="A7" s="14" t="s">
        <v>34</v>
      </c>
      <c r="B7" s="15" t="s">
        <v>35</v>
      </c>
      <c r="C7" s="130" t="s">
        <v>36</v>
      </c>
      <c r="D7" s="17" t="s">
        <v>37</v>
      </c>
      <c r="E7" s="17" t="s">
        <v>25</v>
      </c>
      <c r="F7" s="65"/>
      <c r="G7" s="70"/>
      <c r="H7" s="70"/>
      <c r="I7" s="70"/>
      <c r="J7" s="70"/>
      <c r="K7" s="70"/>
      <c r="L7" s="70"/>
      <c r="M7" s="70"/>
      <c r="N7" s="70"/>
      <c r="O7" s="70"/>
      <c r="P7" s="70"/>
      <c r="Q7" s="71"/>
      <c r="R7" s="71"/>
      <c r="S7" s="70">
        <v>8</v>
      </c>
      <c r="T7" s="70"/>
      <c r="U7" s="70">
        <v>8</v>
      </c>
      <c r="V7" s="70">
        <v>2</v>
      </c>
      <c r="W7" s="70">
        <v>8</v>
      </c>
      <c r="X7" s="70">
        <v>2</v>
      </c>
      <c r="Y7" s="70">
        <v>8</v>
      </c>
      <c r="Z7" s="70">
        <v>2</v>
      </c>
      <c r="AA7" s="70">
        <v>8</v>
      </c>
      <c r="AB7" s="70"/>
      <c r="AC7" s="70">
        <v>8</v>
      </c>
      <c r="AD7" s="70"/>
      <c r="AE7" s="71"/>
      <c r="AF7" s="71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1"/>
      <c r="AT7" s="71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1"/>
      <c r="BH7" s="71"/>
      <c r="BI7" s="70"/>
      <c r="BJ7" s="70"/>
      <c r="BK7" s="70"/>
      <c r="BL7" s="70"/>
      <c r="BM7" s="70"/>
      <c r="BN7" s="70"/>
      <c r="BO7" s="70"/>
      <c r="BP7" s="70"/>
      <c r="BQ7" s="18">
        <f t="shared" ref="BQ7:BQ24" si="0">IF(E7="Không có tay nghề",SUMIF($G$6:$BP$6,$BQ$6,G7:BP7),0)</f>
        <v>0</v>
      </c>
      <c r="BR7" s="18">
        <f t="shared" ref="BR7:BR24" si="1">IF(E7="Không có tay nghề",SUMIF($G$6:$BP$6,$BR$6,G7:BP7),0)</f>
        <v>0</v>
      </c>
      <c r="BS7" s="18">
        <f t="shared" ref="BS7:BS24" si="2">IF(E7="Không có tay nghề",SUMIF($G$6:$BP$6,$BS$6,G7:BP7),0)</f>
        <v>0</v>
      </c>
      <c r="BT7" s="19"/>
      <c r="BU7" s="18">
        <f t="shared" ref="BU7:BU27" si="3">IF(E7="Có tay nghề",SUMIF($G$6:$BP$6,$BQ$6,G7:BP7),0)</f>
        <v>48</v>
      </c>
      <c r="BV7" s="18">
        <f t="shared" ref="BV7:BV27" si="4">IF(E7="Có tay nghề",SUMIF($G$6:$BP$6,$BR$6,G7:BP7),0)</f>
        <v>6</v>
      </c>
      <c r="BW7" s="18">
        <f t="shared" ref="BW7:BW27" si="5">IF(E7="Có tay nghề",SUMIF($G$6:$BP$6,$BS$6,G7:BP7),0)</f>
        <v>0</v>
      </c>
      <c r="BX7" s="19"/>
      <c r="BY7" s="56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2"/>
      <c r="CM7" s="32"/>
      <c r="CN7" s="32"/>
      <c r="CO7" s="32"/>
      <c r="CP7" s="32"/>
      <c r="CQ7" s="32"/>
    </row>
    <row r="8" spans="1:95" ht="44.25" customHeight="1">
      <c r="A8" s="14" t="s">
        <v>38</v>
      </c>
      <c r="B8" s="15" t="s">
        <v>39</v>
      </c>
      <c r="C8" s="130" t="s">
        <v>40</v>
      </c>
      <c r="D8" s="17" t="s">
        <v>37</v>
      </c>
      <c r="E8" s="17" t="s">
        <v>25</v>
      </c>
      <c r="F8" s="65"/>
      <c r="G8" s="70"/>
      <c r="H8" s="70"/>
      <c r="I8" s="70"/>
      <c r="J8" s="70"/>
      <c r="K8" s="70"/>
      <c r="L8" s="70"/>
      <c r="M8" s="70"/>
      <c r="N8" s="70"/>
      <c r="O8" s="70"/>
      <c r="P8" s="70"/>
      <c r="Q8" s="71"/>
      <c r="R8" s="71"/>
      <c r="S8" s="70">
        <v>8</v>
      </c>
      <c r="T8" s="70"/>
      <c r="U8" s="70">
        <v>8</v>
      </c>
      <c r="V8" s="70"/>
      <c r="W8" s="70">
        <v>8</v>
      </c>
      <c r="X8" s="70">
        <v>2</v>
      </c>
      <c r="Y8" s="70"/>
      <c r="Z8" s="70"/>
      <c r="AA8" s="70">
        <v>8</v>
      </c>
      <c r="AB8" s="70">
        <v>2</v>
      </c>
      <c r="AC8" s="70">
        <v>8</v>
      </c>
      <c r="AD8" s="70"/>
      <c r="AE8" s="71"/>
      <c r="AF8" s="71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1"/>
      <c r="AT8" s="71"/>
      <c r="AU8" s="70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1"/>
      <c r="BH8" s="71"/>
      <c r="BI8" s="70"/>
      <c r="BJ8" s="70"/>
      <c r="BK8" s="70"/>
      <c r="BL8" s="70"/>
      <c r="BM8" s="70"/>
      <c r="BN8" s="70"/>
      <c r="BO8" s="70"/>
      <c r="BP8" s="70"/>
      <c r="BQ8" s="18">
        <f t="shared" si="0"/>
        <v>0</v>
      </c>
      <c r="BR8" s="18">
        <f t="shared" si="1"/>
        <v>0</v>
      </c>
      <c r="BS8" s="18">
        <f t="shared" si="2"/>
        <v>0</v>
      </c>
      <c r="BT8" s="19"/>
      <c r="BU8" s="18">
        <f t="shared" si="3"/>
        <v>40</v>
      </c>
      <c r="BV8" s="18">
        <f t="shared" si="4"/>
        <v>4</v>
      </c>
      <c r="BW8" s="18">
        <f t="shared" si="5"/>
        <v>0</v>
      </c>
      <c r="BX8" s="19"/>
      <c r="BY8" s="56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2"/>
      <c r="CM8" s="32"/>
      <c r="CN8" s="32"/>
      <c r="CO8" s="32"/>
      <c r="CP8" s="32"/>
      <c r="CQ8" s="32"/>
    </row>
    <row r="9" spans="1:95" ht="44.25" customHeight="1">
      <c r="A9" s="14" t="s">
        <v>41</v>
      </c>
      <c r="B9" s="15" t="s">
        <v>42</v>
      </c>
      <c r="C9" s="130" t="s">
        <v>43</v>
      </c>
      <c r="D9" s="17" t="s">
        <v>37</v>
      </c>
      <c r="E9" s="17" t="s">
        <v>25</v>
      </c>
      <c r="F9" s="65"/>
      <c r="G9" s="70"/>
      <c r="H9" s="70"/>
      <c r="I9" s="70"/>
      <c r="J9" s="70"/>
      <c r="K9" s="70"/>
      <c r="L9" s="70"/>
      <c r="M9" s="70"/>
      <c r="N9" s="70"/>
      <c r="O9" s="70"/>
      <c r="P9" s="70"/>
      <c r="Q9" s="71"/>
      <c r="R9" s="71"/>
      <c r="S9" s="70">
        <v>8</v>
      </c>
      <c r="T9" s="70"/>
      <c r="U9" s="70"/>
      <c r="V9" s="70"/>
      <c r="W9" s="70">
        <v>8</v>
      </c>
      <c r="X9" s="70"/>
      <c r="Y9" s="70">
        <v>8</v>
      </c>
      <c r="Z9" s="70">
        <v>3.5</v>
      </c>
      <c r="AA9" s="70">
        <v>8</v>
      </c>
      <c r="AB9" s="70">
        <v>2</v>
      </c>
      <c r="AC9" s="70">
        <v>8</v>
      </c>
      <c r="AD9" s="70"/>
      <c r="AE9" s="71"/>
      <c r="AF9" s="71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1"/>
      <c r="AT9" s="71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1"/>
      <c r="BH9" s="71"/>
      <c r="BI9" s="70"/>
      <c r="BJ9" s="70"/>
      <c r="BK9" s="70"/>
      <c r="BL9" s="70"/>
      <c r="BM9" s="70"/>
      <c r="BN9" s="70"/>
      <c r="BO9" s="70"/>
      <c r="BP9" s="70"/>
      <c r="BQ9" s="18">
        <f t="shared" si="0"/>
        <v>0</v>
      </c>
      <c r="BR9" s="18">
        <f t="shared" si="1"/>
        <v>0</v>
      </c>
      <c r="BS9" s="18">
        <f t="shared" si="2"/>
        <v>0</v>
      </c>
      <c r="BT9" s="19"/>
      <c r="BU9" s="18">
        <f t="shared" si="3"/>
        <v>40</v>
      </c>
      <c r="BV9" s="18">
        <f t="shared" si="4"/>
        <v>5.5</v>
      </c>
      <c r="BW9" s="18">
        <f t="shared" si="5"/>
        <v>0</v>
      </c>
      <c r="BX9" s="19"/>
      <c r="BY9" s="56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2"/>
      <c r="CM9" s="32"/>
      <c r="CN9" s="32"/>
      <c r="CO9" s="32"/>
      <c r="CP9" s="32"/>
      <c r="CQ9" s="32"/>
    </row>
    <row r="10" spans="1:95" ht="44.25" customHeight="1">
      <c r="A10" s="14" t="s">
        <v>44</v>
      </c>
      <c r="B10" s="15" t="s">
        <v>45</v>
      </c>
      <c r="C10" s="130" t="s">
        <v>46</v>
      </c>
      <c r="D10" s="17" t="s">
        <v>37</v>
      </c>
      <c r="E10" s="17" t="s">
        <v>25</v>
      </c>
      <c r="F10" s="65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1"/>
      <c r="R10" s="71"/>
      <c r="S10" s="70">
        <v>8</v>
      </c>
      <c r="T10" s="70"/>
      <c r="U10" s="70"/>
      <c r="V10" s="70"/>
      <c r="W10" s="70">
        <v>8</v>
      </c>
      <c r="X10" s="70"/>
      <c r="Y10" s="70">
        <v>8</v>
      </c>
      <c r="Z10" s="70">
        <v>3.5</v>
      </c>
      <c r="AA10" s="70">
        <v>8</v>
      </c>
      <c r="AB10" s="70">
        <v>2</v>
      </c>
      <c r="AC10" s="70">
        <v>8</v>
      </c>
      <c r="AD10" s="70"/>
      <c r="AE10" s="71"/>
      <c r="AF10" s="71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1"/>
      <c r="AT10" s="71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1"/>
      <c r="BH10" s="71"/>
      <c r="BI10" s="70"/>
      <c r="BJ10" s="70"/>
      <c r="BK10" s="70"/>
      <c r="BL10" s="70"/>
      <c r="BM10" s="70"/>
      <c r="BN10" s="70"/>
      <c r="BO10" s="70"/>
      <c r="BP10" s="70"/>
      <c r="BQ10" s="18">
        <f t="shared" si="0"/>
        <v>0</v>
      </c>
      <c r="BR10" s="18">
        <f t="shared" si="1"/>
        <v>0</v>
      </c>
      <c r="BS10" s="18">
        <f t="shared" si="2"/>
        <v>0</v>
      </c>
      <c r="BT10" s="19"/>
      <c r="BU10" s="18">
        <f t="shared" si="3"/>
        <v>40</v>
      </c>
      <c r="BV10" s="18">
        <f t="shared" si="4"/>
        <v>5.5</v>
      </c>
      <c r="BW10" s="18">
        <f t="shared" si="5"/>
        <v>0</v>
      </c>
      <c r="BX10" s="19"/>
      <c r="BY10" s="56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2"/>
      <c r="CM10" s="32"/>
      <c r="CN10" s="32"/>
      <c r="CO10" s="32"/>
      <c r="CP10" s="32"/>
      <c r="CQ10" s="32"/>
    </row>
    <row r="11" spans="1:95" ht="44.25" customHeight="1">
      <c r="A11" s="14" t="s">
        <v>47</v>
      </c>
      <c r="B11" s="15" t="s">
        <v>48</v>
      </c>
      <c r="C11" s="130" t="s">
        <v>49</v>
      </c>
      <c r="D11" s="17" t="s">
        <v>37</v>
      </c>
      <c r="E11" s="17" t="s">
        <v>25</v>
      </c>
      <c r="F11" s="65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1"/>
      <c r="R11" s="71"/>
      <c r="S11" s="70">
        <v>8</v>
      </c>
      <c r="T11" s="70"/>
      <c r="U11" s="70">
        <v>8</v>
      </c>
      <c r="V11" s="70"/>
      <c r="W11" s="70"/>
      <c r="X11" s="70"/>
      <c r="Y11" s="70">
        <v>8</v>
      </c>
      <c r="Z11" s="70"/>
      <c r="AA11" s="70">
        <v>8</v>
      </c>
      <c r="AB11" s="70"/>
      <c r="AC11" s="70">
        <v>8</v>
      </c>
      <c r="AD11" s="70"/>
      <c r="AE11" s="71"/>
      <c r="AF11" s="71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1"/>
      <c r="AT11" s="71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1"/>
      <c r="BH11" s="71"/>
      <c r="BI11" s="70"/>
      <c r="BJ11" s="70"/>
      <c r="BK11" s="70"/>
      <c r="BL11" s="70"/>
      <c r="BM11" s="70"/>
      <c r="BN11" s="70"/>
      <c r="BO11" s="70"/>
      <c r="BP11" s="70"/>
      <c r="BQ11" s="18">
        <f t="shared" si="0"/>
        <v>0</v>
      </c>
      <c r="BR11" s="18">
        <f t="shared" si="1"/>
        <v>0</v>
      </c>
      <c r="BS11" s="18">
        <f t="shared" si="2"/>
        <v>0</v>
      </c>
      <c r="BT11" s="19"/>
      <c r="BU11" s="18">
        <f t="shared" si="3"/>
        <v>40</v>
      </c>
      <c r="BV11" s="18">
        <f t="shared" si="4"/>
        <v>0</v>
      </c>
      <c r="BW11" s="18">
        <f t="shared" si="5"/>
        <v>0</v>
      </c>
      <c r="BX11" s="19"/>
      <c r="BY11" s="56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2"/>
      <c r="CM11" s="32"/>
      <c r="CN11" s="32"/>
      <c r="CO11" s="32"/>
      <c r="CP11" s="32"/>
      <c r="CQ11" s="32"/>
    </row>
    <row r="12" spans="1:95" ht="44.25" customHeight="1">
      <c r="A12" s="14" t="s">
        <v>50</v>
      </c>
      <c r="B12" s="15" t="s">
        <v>51</v>
      </c>
      <c r="C12" s="130" t="s">
        <v>52</v>
      </c>
      <c r="D12" s="17" t="s">
        <v>37</v>
      </c>
      <c r="E12" s="17" t="s">
        <v>25</v>
      </c>
      <c r="F12" s="65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1"/>
      <c r="R12" s="71"/>
      <c r="S12" s="70">
        <v>8</v>
      </c>
      <c r="T12" s="70">
        <v>1.5</v>
      </c>
      <c r="U12" s="70">
        <v>8</v>
      </c>
      <c r="V12" s="70">
        <v>2</v>
      </c>
      <c r="W12" s="70">
        <v>8</v>
      </c>
      <c r="X12" s="70">
        <v>2</v>
      </c>
      <c r="Y12" s="70">
        <v>8</v>
      </c>
      <c r="Z12" s="70">
        <v>2</v>
      </c>
      <c r="AA12" s="70">
        <v>8</v>
      </c>
      <c r="AB12" s="70">
        <v>2</v>
      </c>
      <c r="AC12" s="70">
        <v>8</v>
      </c>
      <c r="AD12" s="70"/>
      <c r="AE12" s="71"/>
      <c r="AF12" s="71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1"/>
      <c r="AT12" s="71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1"/>
      <c r="BH12" s="71"/>
      <c r="BI12" s="70"/>
      <c r="BJ12" s="70"/>
      <c r="BK12" s="70"/>
      <c r="BL12" s="70"/>
      <c r="BM12" s="70"/>
      <c r="BN12" s="70"/>
      <c r="BO12" s="70"/>
      <c r="BP12" s="70"/>
      <c r="BQ12" s="18">
        <f t="shared" si="0"/>
        <v>0</v>
      </c>
      <c r="BR12" s="18">
        <f t="shared" si="1"/>
        <v>0</v>
      </c>
      <c r="BS12" s="18">
        <f t="shared" si="2"/>
        <v>0</v>
      </c>
      <c r="BT12" s="19"/>
      <c r="BU12" s="18">
        <f t="shared" si="3"/>
        <v>48</v>
      </c>
      <c r="BV12" s="18">
        <f t="shared" si="4"/>
        <v>9.5</v>
      </c>
      <c r="BW12" s="18">
        <f t="shared" si="5"/>
        <v>0</v>
      </c>
      <c r="BX12" s="19"/>
      <c r="BY12" s="56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2"/>
      <c r="CM12" s="32"/>
      <c r="CN12" s="32"/>
      <c r="CO12" s="32"/>
      <c r="CP12" s="32"/>
      <c r="CQ12" s="32"/>
    </row>
    <row r="13" spans="1:95" ht="44.25" customHeight="1">
      <c r="A13" s="14" t="s">
        <v>53</v>
      </c>
      <c r="B13" s="15" t="s">
        <v>54</v>
      </c>
      <c r="C13" s="130" t="s">
        <v>55</v>
      </c>
      <c r="D13" s="17" t="s">
        <v>37</v>
      </c>
      <c r="E13" s="17" t="s">
        <v>25</v>
      </c>
      <c r="F13" s="65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1"/>
      <c r="R13" s="71"/>
      <c r="S13" s="70"/>
      <c r="T13" s="70"/>
      <c r="U13" s="70">
        <v>8</v>
      </c>
      <c r="V13" s="70"/>
      <c r="W13" s="70">
        <v>8</v>
      </c>
      <c r="X13" s="70"/>
      <c r="Y13" s="70">
        <v>8</v>
      </c>
      <c r="Z13" s="70"/>
      <c r="AA13" s="70">
        <v>8</v>
      </c>
      <c r="AB13" s="70"/>
      <c r="AC13" s="70">
        <v>8</v>
      </c>
      <c r="AD13" s="70"/>
      <c r="AE13" s="71"/>
      <c r="AF13" s="71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1"/>
      <c r="AT13" s="71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1"/>
      <c r="BH13" s="71"/>
      <c r="BI13" s="70"/>
      <c r="BJ13" s="70"/>
      <c r="BK13" s="70"/>
      <c r="BL13" s="70"/>
      <c r="BM13" s="70"/>
      <c r="BN13" s="70"/>
      <c r="BO13" s="70"/>
      <c r="BP13" s="70"/>
      <c r="BQ13" s="18">
        <f t="shared" si="0"/>
        <v>0</v>
      </c>
      <c r="BR13" s="18">
        <f t="shared" si="1"/>
        <v>0</v>
      </c>
      <c r="BS13" s="18">
        <f t="shared" si="2"/>
        <v>0</v>
      </c>
      <c r="BT13" s="19"/>
      <c r="BU13" s="18">
        <f t="shared" si="3"/>
        <v>40</v>
      </c>
      <c r="BV13" s="18">
        <f t="shared" si="4"/>
        <v>0</v>
      </c>
      <c r="BW13" s="18">
        <f t="shared" si="5"/>
        <v>0</v>
      </c>
      <c r="BX13" s="19"/>
      <c r="BY13" s="56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2"/>
      <c r="CM13" s="32"/>
      <c r="CN13" s="32"/>
      <c r="CO13" s="32"/>
      <c r="CP13" s="32"/>
      <c r="CQ13" s="32"/>
    </row>
    <row r="14" spans="1:95" ht="44.25" customHeight="1">
      <c r="A14" s="14" t="s">
        <v>56</v>
      </c>
      <c r="B14" s="15" t="s">
        <v>57</v>
      </c>
      <c r="C14" s="130" t="s">
        <v>58</v>
      </c>
      <c r="D14" s="17" t="s">
        <v>37</v>
      </c>
      <c r="E14" s="17" t="s">
        <v>25</v>
      </c>
      <c r="F14" s="65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1"/>
      <c r="R14" s="71"/>
      <c r="S14" s="70">
        <v>8</v>
      </c>
      <c r="T14" s="70"/>
      <c r="U14" s="70">
        <v>8</v>
      </c>
      <c r="V14" s="70">
        <v>2</v>
      </c>
      <c r="W14" s="70">
        <v>8</v>
      </c>
      <c r="X14" s="70">
        <v>2</v>
      </c>
      <c r="Y14" s="70">
        <v>8</v>
      </c>
      <c r="Z14" s="70">
        <v>2</v>
      </c>
      <c r="AA14" s="70">
        <v>8</v>
      </c>
      <c r="AB14" s="70"/>
      <c r="AC14" s="70">
        <v>8</v>
      </c>
      <c r="AD14" s="70"/>
      <c r="AE14" s="71"/>
      <c r="AF14" s="71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1"/>
      <c r="AT14" s="71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1"/>
      <c r="BH14" s="71"/>
      <c r="BI14" s="70"/>
      <c r="BJ14" s="70"/>
      <c r="BK14" s="70"/>
      <c r="BL14" s="70"/>
      <c r="BM14" s="70"/>
      <c r="BN14" s="70"/>
      <c r="BO14" s="70"/>
      <c r="BP14" s="70"/>
      <c r="BQ14" s="18">
        <f t="shared" si="0"/>
        <v>0</v>
      </c>
      <c r="BR14" s="18">
        <f t="shared" si="1"/>
        <v>0</v>
      </c>
      <c r="BS14" s="18">
        <f t="shared" si="2"/>
        <v>0</v>
      </c>
      <c r="BT14" s="19"/>
      <c r="BU14" s="18">
        <f t="shared" si="3"/>
        <v>48</v>
      </c>
      <c r="BV14" s="18">
        <f t="shared" si="4"/>
        <v>6</v>
      </c>
      <c r="BW14" s="18">
        <f t="shared" si="5"/>
        <v>0</v>
      </c>
      <c r="BX14" s="19"/>
      <c r="BY14" s="56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2"/>
      <c r="CM14" s="32"/>
      <c r="CN14" s="32"/>
      <c r="CO14" s="32"/>
      <c r="CP14" s="32"/>
      <c r="CQ14" s="32"/>
    </row>
    <row r="15" spans="1:95" ht="44.25" customHeight="1">
      <c r="A15" s="14" t="s">
        <v>59</v>
      </c>
      <c r="B15" s="15" t="s">
        <v>60</v>
      </c>
      <c r="C15" s="130" t="s">
        <v>61</v>
      </c>
      <c r="D15" s="17" t="s">
        <v>37</v>
      </c>
      <c r="E15" s="17" t="s">
        <v>25</v>
      </c>
      <c r="F15" s="65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1"/>
      <c r="R15" s="71"/>
      <c r="S15" s="70">
        <v>8</v>
      </c>
      <c r="T15" s="70"/>
      <c r="U15" s="70">
        <v>8</v>
      </c>
      <c r="V15" s="70"/>
      <c r="W15" s="70">
        <v>8</v>
      </c>
      <c r="X15" s="70"/>
      <c r="Y15" s="70">
        <v>8</v>
      </c>
      <c r="Z15" s="70"/>
      <c r="AA15" s="70">
        <v>8</v>
      </c>
      <c r="AB15" s="70"/>
      <c r="AC15" s="70">
        <v>8</v>
      </c>
      <c r="AD15" s="70"/>
      <c r="AE15" s="71"/>
      <c r="AF15" s="71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1"/>
      <c r="AT15" s="71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1"/>
      <c r="BH15" s="71"/>
      <c r="BI15" s="70"/>
      <c r="BJ15" s="70"/>
      <c r="BK15" s="70"/>
      <c r="BL15" s="70"/>
      <c r="BM15" s="70"/>
      <c r="BN15" s="70"/>
      <c r="BO15" s="70"/>
      <c r="BP15" s="70"/>
      <c r="BQ15" s="18">
        <f t="shared" si="0"/>
        <v>0</v>
      </c>
      <c r="BR15" s="18">
        <f t="shared" si="1"/>
        <v>0</v>
      </c>
      <c r="BS15" s="18">
        <f t="shared" si="2"/>
        <v>0</v>
      </c>
      <c r="BT15" s="19"/>
      <c r="BU15" s="18">
        <f t="shared" si="3"/>
        <v>48</v>
      </c>
      <c r="BV15" s="18">
        <f t="shared" si="4"/>
        <v>0</v>
      </c>
      <c r="BW15" s="18">
        <f t="shared" si="5"/>
        <v>0</v>
      </c>
      <c r="BX15" s="19"/>
      <c r="BY15" s="56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2"/>
      <c r="CM15" s="32"/>
      <c r="CN15" s="32"/>
      <c r="CO15" s="32"/>
      <c r="CP15" s="32"/>
      <c r="CQ15" s="32"/>
    </row>
    <row r="16" spans="1:95" ht="44.25" customHeight="1">
      <c r="A16" s="14" t="s">
        <v>62</v>
      </c>
      <c r="B16" s="15" t="s">
        <v>63</v>
      </c>
      <c r="C16" s="130" t="s">
        <v>64</v>
      </c>
      <c r="D16" s="17" t="s">
        <v>37</v>
      </c>
      <c r="E16" s="17" t="s">
        <v>25</v>
      </c>
      <c r="F16" s="65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1"/>
      <c r="R16" s="71"/>
      <c r="S16" s="70">
        <v>8</v>
      </c>
      <c r="T16" s="70"/>
      <c r="U16" s="70">
        <v>8</v>
      </c>
      <c r="V16" s="70"/>
      <c r="W16" s="70">
        <v>8</v>
      </c>
      <c r="X16" s="70">
        <v>2</v>
      </c>
      <c r="Y16" s="70">
        <v>8</v>
      </c>
      <c r="Z16" s="70">
        <v>2</v>
      </c>
      <c r="AA16" s="70">
        <v>8</v>
      </c>
      <c r="AB16" s="70">
        <v>2</v>
      </c>
      <c r="AC16" s="70">
        <v>8</v>
      </c>
      <c r="AD16" s="70"/>
      <c r="AE16" s="71"/>
      <c r="AF16" s="71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1"/>
      <c r="AT16" s="71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1"/>
      <c r="BH16" s="71"/>
      <c r="BI16" s="70"/>
      <c r="BJ16" s="70"/>
      <c r="BK16" s="70"/>
      <c r="BL16" s="70"/>
      <c r="BM16" s="70"/>
      <c r="BN16" s="70"/>
      <c r="BO16" s="70"/>
      <c r="BP16" s="70"/>
      <c r="BQ16" s="18">
        <f t="shared" si="0"/>
        <v>0</v>
      </c>
      <c r="BR16" s="18">
        <f t="shared" si="1"/>
        <v>0</v>
      </c>
      <c r="BS16" s="18">
        <f t="shared" si="2"/>
        <v>0</v>
      </c>
      <c r="BT16" s="19"/>
      <c r="BU16" s="18">
        <f t="shared" si="3"/>
        <v>48</v>
      </c>
      <c r="BV16" s="18">
        <f t="shared" si="4"/>
        <v>6</v>
      </c>
      <c r="BW16" s="18">
        <f t="shared" si="5"/>
        <v>0</v>
      </c>
      <c r="BX16" s="19"/>
      <c r="BY16" s="56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2"/>
      <c r="CM16" s="32"/>
      <c r="CN16" s="32"/>
      <c r="CO16" s="32"/>
      <c r="CP16" s="32"/>
      <c r="CQ16" s="32"/>
    </row>
    <row r="17" spans="1:95" ht="44.25" customHeight="1">
      <c r="A17" s="14" t="s">
        <v>65</v>
      </c>
      <c r="B17" s="15" t="s">
        <v>66</v>
      </c>
      <c r="C17" s="130" t="s">
        <v>67</v>
      </c>
      <c r="D17" s="17" t="s">
        <v>37</v>
      </c>
      <c r="E17" s="17" t="s">
        <v>25</v>
      </c>
      <c r="F17" s="65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1"/>
      <c r="R17" s="71"/>
      <c r="S17" s="70">
        <v>8</v>
      </c>
      <c r="T17" s="70">
        <v>1.5</v>
      </c>
      <c r="U17" s="70">
        <v>8</v>
      </c>
      <c r="V17" s="70">
        <v>2</v>
      </c>
      <c r="W17" s="70">
        <v>8</v>
      </c>
      <c r="X17" s="70">
        <v>2</v>
      </c>
      <c r="Y17" s="70">
        <v>8</v>
      </c>
      <c r="Z17" s="70">
        <v>2</v>
      </c>
      <c r="AA17" s="70">
        <v>8</v>
      </c>
      <c r="AB17" s="70">
        <v>2</v>
      </c>
      <c r="AC17" s="70"/>
      <c r="AD17" s="70"/>
      <c r="AE17" s="71"/>
      <c r="AF17" s="71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1"/>
      <c r="AT17" s="71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1"/>
      <c r="BH17" s="71"/>
      <c r="BI17" s="70"/>
      <c r="BJ17" s="70"/>
      <c r="BK17" s="70"/>
      <c r="BL17" s="70"/>
      <c r="BM17" s="70"/>
      <c r="BN17" s="70"/>
      <c r="BO17" s="70"/>
      <c r="BP17" s="70"/>
      <c r="BQ17" s="18">
        <f t="shared" si="0"/>
        <v>0</v>
      </c>
      <c r="BR17" s="18">
        <f t="shared" si="1"/>
        <v>0</v>
      </c>
      <c r="BS17" s="18">
        <f t="shared" si="2"/>
        <v>0</v>
      </c>
      <c r="BT17" s="19"/>
      <c r="BU17" s="18">
        <f t="shared" si="3"/>
        <v>40</v>
      </c>
      <c r="BV17" s="18">
        <f t="shared" si="4"/>
        <v>9.5</v>
      </c>
      <c r="BW17" s="18">
        <f t="shared" si="5"/>
        <v>0</v>
      </c>
      <c r="BX17" s="19"/>
      <c r="BY17" s="56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2"/>
      <c r="CM17" s="32"/>
      <c r="CN17" s="32"/>
      <c r="CO17" s="32"/>
      <c r="CP17" s="32"/>
      <c r="CQ17" s="32"/>
    </row>
    <row r="18" spans="1:95" ht="44.25" customHeight="1">
      <c r="A18" s="14" t="s">
        <v>68</v>
      </c>
      <c r="B18" s="15" t="s">
        <v>69</v>
      </c>
      <c r="C18" s="130" t="s">
        <v>70</v>
      </c>
      <c r="D18" s="17" t="s">
        <v>37</v>
      </c>
      <c r="E18" s="17" t="s">
        <v>25</v>
      </c>
      <c r="F18" s="65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1"/>
      <c r="R18" s="71"/>
      <c r="S18" s="70">
        <v>8</v>
      </c>
      <c r="T18" s="70"/>
      <c r="U18" s="70">
        <v>8</v>
      </c>
      <c r="V18" s="70">
        <v>2</v>
      </c>
      <c r="W18" s="70">
        <v>8</v>
      </c>
      <c r="X18" s="70">
        <v>2</v>
      </c>
      <c r="Y18" s="70">
        <v>8</v>
      </c>
      <c r="Z18" s="70">
        <v>2</v>
      </c>
      <c r="AA18" s="70">
        <v>8</v>
      </c>
      <c r="AB18" s="70"/>
      <c r="AC18" s="70">
        <v>8</v>
      </c>
      <c r="AD18" s="70"/>
      <c r="AE18" s="71"/>
      <c r="AF18" s="71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1"/>
      <c r="AT18" s="71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1"/>
      <c r="BH18" s="71"/>
      <c r="BI18" s="70"/>
      <c r="BJ18" s="70"/>
      <c r="BK18" s="70"/>
      <c r="BL18" s="70"/>
      <c r="BM18" s="70"/>
      <c r="BN18" s="70"/>
      <c r="BO18" s="70"/>
      <c r="BP18" s="70"/>
      <c r="BQ18" s="18">
        <f t="shared" si="0"/>
        <v>0</v>
      </c>
      <c r="BR18" s="18">
        <f t="shared" si="1"/>
        <v>0</v>
      </c>
      <c r="BS18" s="18">
        <f t="shared" si="2"/>
        <v>0</v>
      </c>
      <c r="BT18" s="19"/>
      <c r="BU18" s="18">
        <f t="shared" si="3"/>
        <v>48</v>
      </c>
      <c r="BV18" s="18">
        <f t="shared" si="4"/>
        <v>6</v>
      </c>
      <c r="BW18" s="18">
        <f t="shared" si="5"/>
        <v>0</v>
      </c>
      <c r="BX18" s="19"/>
      <c r="BY18" s="56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2"/>
      <c r="CM18" s="32"/>
      <c r="CN18" s="32"/>
      <c r="CO18" s="32"/>
      <c r="CP18" s="32"/>
      <c r="CQ18" s="32"/>
    </row>
    <row r="19" spans="1:95" ht="44.25" customHeight="1">
      <c r="A19" s="14" t="s">
        <v>71</v>
      </c>
      <c r="B19" s="15" t="s">
        <v>72</v>
      </c>
      <c r="C19" s="130" t="s">
        <v>73</v>
      </c>
      <c r="D19" s="17" t="s">
        <v>37</v>
      </c>
      <c r="E19" s="17" t="s">
        <v>25</v>
      </c>
      <c r="F19" s="65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1"/>
      <c r="R19" s="71"/>
      <c r="S19" s="70"/>
      <c r="T19" s="70"/>
      <c r="U19" s="70">
        <v>8</v>
      </c>
      <c r="V19" s="70">
        <v>2</v>
      </c>
      <c r="W19" s="70">
        <v>8</v>
      </c>
      <c r="X19" s="70">
        <v>2</v>
      </c>
      <c r="Y19" s="70">
        <v>8</v>
      </c>
      <c r="Z19" s="70">
        <v>2</v>
      </c>
      <c r="AA19" s="70">
        <v>8</v>
      </c>
      <c r="AB19" s="70">
        <v>2</v>
      </c>
      <c r="AC19" s="70">
        <v>8</v>
      </c>
      <c r="AD19" s="70"/>
      <c r="AE19" s="71"/>
      <c r="AF19" s="71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1"/>
      <c r="AT19" s="71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1"/>
      <c r="BH19" s="71"/>
      <c r="BI19" s="70"/>
      <c r="BJ19" s="70"/>
      <c r="BK19" s="70"/>
      <c r="BL19" s="70"/>
      <c r="BM19" s="70"/>
      <c r="BN19" s="70"/>
      <c r="BO19" s="70"/>
      <c r="BP19" s="70"/>
      <c r="BQ19" s="18">
        <f t="shared" si="0"/>
        <v>0</v>
      </c>
      <c r="BR19" s="18">
        <f t="shared" si="1"/>
        <v>0</v>
      </c>
      <c r="BS19" s="18">
        <f t="shared" si="2"/>
        <v>0</v>
      </c>
      <c r="BT19" s="19"/>
      <c r="BU19" s="18">
        <f t="shared" si="3"/>
        <v>40</v>
      </c>
      <c r="BV19" s="18">
        <f t="shared" si="4"/>
        <v>8</v>
      </c>
      <c r="BW19" s="18">
        <f t="shared" si="5"/>
        <v>0</v>
      </c>
      <c r="BX19" s="19"/>
      <c r="BY19" s="56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2"/>
      <c r="CM19" s="32"/>
      <c r="CN19" s="32"/>
      <c r="CO19" s="32"/>
      <c r="CP19" s="32"/>
      <c r="CQ19" s="32"/>
    </row>
    <row r="20" spans="1:95" ht="44.25" customHeight="1">
      <c r="A20" s="14" t="s">
        <v>74</v>
      </c>
      <c r="B20" s="15" t="s">
        <v>75</v>
      </c>
      <c r="C20" s="130" t="s">
        <v>76</v>
      </c>
      <c r="D20" s="17" t="s">
        <v>37</v>
      </c>
      <c r="E20" s="17" t="s">
        <v>25</v>
      </c>
      <c r="F20" s="65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1"/>
      <c r="R20" s="71"/>
      <c r="S20" s="70">
        <v>8</v>
      </c>
      <c r="T20" s="70"/>
      <c r="U20" s="70"/>
      <c r="V20" s="70"/>
      <c r="W20" s="70"/>
      <c r="X20" s="70"/>
      <c r="Y20" s="70">
        <v>8</v>
      </c>
      <c r="Z20" s="70">
        <v>2</v>
      </c>
      <c r="AA20" s="70">
        <v>8</v>
      </c>
      <c r="AB20" s="70">
        <v>2</v>
      </c>
      <c r="AC20" s="70">
        <v>8</v>
      </c>
      <c r="AD20" s="70"/>
      <c r="AE20" s="71"/>
      <c r="AF20" s="71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1"/>
      <c r="AT20" s="71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1"/>
      <c r="BH20" s="71"/>
      <c r="BI20" s="70"/>
      <c r="BJ20" s="70"/>
      <c r="BK20" s="70"/>
      <c r="BL20" s="70"/>
      <c r="BM20" s="70"/>
      <c r="BN20" s="70"/>
      <c r="BO20" s="70"/>
      <c r="BP20" s="70"/>
      <c r="BQ20" s="18">
        <f t="shared" si="0"/>
        <v>0</v>
      </c>
      <c r="BR20" s="18">
        <f t="shared" si="1"/>
        <v>0</v>
      </c>
      <c r="BS20" s="18">
        <f t="shared" si="2"/>
        <v>0</v>
      </c>
      <c r="BT20" s="19"/>
      <c r="BU20" s="18">
        <f t="shared" si="3"/>
        <v>32</v>
      </c>
      <c r="BV20" s="18">
        <f t="shared" si="4"/>
        <v>4</v>
      </c>
      <c r="BW20" s="18">
        <f t="shared" si="5"/>
        <v>0</v>
      </c>
      <c r="BX20" s="19"/>
      <c r="BY20" s="56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2"/>
      <c r="CM20" s="32"/>
      <c r="CN20" s="32"/>
      <c r="CO20" s="32"/>
      <c r="CP20" s="32"/>
      <c r="CQ20" s="32"/>
    </row>
    <row r="21" spans="1:95" ht="44.25" customHeight="1">
      <c r="A21" s="14" t="s">
        <v>77</v>
      </c>
      <c r="B21" s="15" t="s">
        <v>78</v>
      </c>
      <c r="C21" s="130" t="s">
        <v>79</v>
      </c>
      <c r="D21" s="17" t="s">
        <v>37</v>
      </c>
      <c r="E21" s="17" t="s">
        <v>25</v>
      </c>
      <c r="F21" s="65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1"/>
      <c r="R21" s="71"/>
      <c r="S21" s="70">
        <v>8</v>
      </c>
      <c r="T21" s="70"/>
      <c r="U21" s="70">
        <v>8</v>
      </c>
      <c r="V21" s="70"/>
      <c r="W21" s="70">
        <v>8</v>
      </c>
      <c r="X21" s="70"/>
      <c r="Y21" s="70">
        <v>8</v>
      </c>
      <c r="Z21" s="70"/>
      <c r="AA21" s="70">
        <v>8</v>
      </c>
      <c r="AB21" s="70"/>
      <c r="AC21" s="70">
        <v>8</v>
      </c>
      <c r="AD21" s="70"/>
      <c r="AE21" s="71"/>
      <c r="AF21" s="71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1"/>
      <c r="AT21" s="71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1"/>
      <c r="BH21" s="71"/>
      <c r="BI21" s="70"/>
      <c r="BJ21" s="70"/>
      <c r="BK21" s="70"/>
      <c r="BL21" s="70"/>
      <c r="BM21" s="70"/>
      <c r="BN21" s="70"/>
      <c r="BO21" s="70"/>
      <c r="BP21" s="70"/>
      <c r="BQ21" s="18">
        <f t="shared" si="0"/>
        <v>0</v>
      </c>
      <c r="BR21" s="18">
        <f t="shared" si="1"/>
        <v>0</v>
      </c>
      <c r="BS21" s="18">
        <f t="shared" si="2"/>
        <v>0</v>
      </c>
      <c r="BT21" s="19"/>
      <c r="BU21" s="18">
        <f t="shared" si="3"/>
        <v>48</v>
      </c>
      <c r="BV21" s="18">
        <f t="shared" si="4"/>
        <v>0</v>
      </c>
      <c r="BW21" s="18">
        <f t="shared" si="5"/>
        <v>0</v>
      </c>
      <c r="BX21" s="19"/>
      <c r="BY21" s="56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2"/>
      <c r="CM21" s="32"/>
      <c r="CN21" s="32"/>
      <c r="CO21" s="32"/>
      <c r="CP21" s="32"/>
      <c r="CQ21" s="32"/>
    </row>
    <row r="22" spans="1:95" ht="44.25" customHeight="1">
      <c r="A22" s="14" t="s">
        <v>80</v>
      </c>
      <c r="B22" s="15" t="s">
        <v>81</v>
      </c>
      <c r="C22" s="130" t="s">
        <v>82</v>
      </c>
      <c r="D22" s="17" t="s">
        <v>37</v>
      </c>
      <c r="E22" s="17" t="s">
        <v>25</v>
      </c>
      <c r="F22" s="65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40"/>
      <c r="R22" s="40"/>
      <c r="S22" s="39">
        <v>8</v>
      </c>
      <c r="T22" s="39">
        <v>1.5</v>
      </c>
      <c r="U22" s="39">
        <v>8</v>
      </c>
      <c r="V22" s="39">
        <v>2</v>
      </c>
      <c r="W22" s="39">
        <v>8</v>
      </c>
      <c r="X22" s="39">
        <v>2</v>
      </c>
      <c r="Y22" s="39">
        <v>8</v>
      </c>
      <c r="Z22" s="39">
        <v>2</v>
      </c>
      <c r="AA22" s="39">
        <v>8</v>
      </c>
      <c r="AB22" s="39"/>
      <c r="AC22" s="39">
        <v>8</v>
      </c>
      <c r="AD22" s="39"/>
      <c r="AE22" s="40"/>
      <c r="AF22" s="40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40"/>
      <c r="AT22" s="40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40"/>
      <c r="BH22" s="40"/>
      <c r="BI22" s="39"/>
      <c r="BJ22" s="39"/>
      <c r="BK22" s="39"/>
      <c r="BL22" s="39"/>
      <c r="BM22" s="39"/>
      <c r="BN22" s="39"/>
      <c r="BO22" s="39"/>
      <c r="BP22" s="39"/>
      <c r="BQ22" s="18">
        <f t="shared" si="0"/>
        <v>0</v>
      </c>
      <c r="BR22" s="18">
        <f t="shared" si="1"/>
        <v>0</v>
      </c>
      <c r="BS22" s="18">
        <f t="shared" si="2"/>
        <v>0</v>
      </c>
      <c r="BT22" s="19"/>
      <c r="BU22" s="18">
        <f t="shared" si="3"/>
        <v>48</v>
      </c>
      <c r="BV22" s="18">
        <f t="shared" si="4"/>
        <v>7.5</v>
      </c>
      <c r="BW22" s="18">
        <f t="shared" si="5"/>
        <v>0</v>
      </c>
      <c r="BX22" s="19"/>
      <c r="BY22" s="56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2"/>
      <c r="CM22" s="32"/>
      <c r="CN22" s="32"/>
      <c r="CO22" s="32"/>
      <c r="CP22" s="32"/>
      <c r="CQ22" s="32"/>
    </row>
    <row r="23" spans="1:95" ht="44.25" customHeight="1">
      <c r="A23" s="14" t="s">
        <v>83</v>
      </c>
      <c r="B23" s="15" t="s">
        <v>84</v>
      </c>
      <c r="C23" s="130" t="s">
        <v>85</v>
      </c>
      <c r="D23" s="17" t="s">
        <v>37</v>
      </c>
      <c r="E23" s="17" t="s">
        <v>25</v>
      </c>
      <c r="F23" s="65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40"/>
      <c r="R23" s="40"/>
      <c r="S23" s="39">
        <v>8</v>
      </c>
      <c r="T23" s="39">
        <v>1.5</v>
      </c>
      <c r="U23" s="39">
        <v>8</v>
      </c>
      <c r="V23" s="39"/>
      <c r="W23" s="39">
        <v>8</v>
      </c>
      <c r="X23" s="39">
        <v>2</v>
      </c>
      <c r="Y23" s="39">
        <v>8</v>
      </c>
      <c r="Z23" s="39">
        <v>2</v>
      </c>
      <c r="AA23" s="39">
        <v>8</v>
      </c>
      <c r="AB23" s="39">
        <v>2</v>
      </c>
      <c r="AC23" s="39">
        <v>8</v>
      </c>
      <c r="AD23" s="39"/>
      <c r="AE23" s="40"/>
      <c r="AF23" s="40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40"/>
      <c r="AT23" s="40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40"/>
      <c r="BH23" s="40"/>
      <c r="BI23" s="39"/>
      <c r="BJ23" s="39"/>
      <c r="BK23" s="39"/>
      <c r="BL23" s="39"/>
      <c r="BM23" s="39"/>
      <c r="BN23" s="39"/>
      <c r="BO23" s="39"/>
      <c r="BP23" s="39"/>
      <c r="BQ23" s="18">
        <f t="shared" si="0"/>
        <v>0</v>
      </c>
      <c r="BR23" s="18">
        <f t="shared" si="1"/>
        <v>0</v>
      </c>
      <c r="BS23" s="18">
        <f t="shared" si="2"/>
        <v>0</v>
      </c>
      <c r="BT23" s="19"/>
      <c r="BU23" s="18">
        <f t="shared" si="3"/>
        <v>48</v>
      </c>
      <c r="BV23" s="18">
        <f t="shared" si="4"/>
        <v>7.5</v>
      </c>
      <c r="BW23" s="18">
        <f t="shared" si="5"/>
        <v>0</v>
      </c>
      <c r="BX23" s="19"/>
      <c r="BY23" s="56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2"/>
      <c r="CM23" s="32"/>
      <c r="CN23" s="32"/>
      <c r="CO23" s="32"/>
      <c r="CP23" s="32"/>
      <c r="CQ23" s="32"/>
    </row>
    <row r="24" spans="1:95" ht="44.25" customHeight="1">
      <c r="A24" s="14" t="s">
        <v>86</v>
      </c>
      <c r="B24" s="15" t="s">
        <v>87</v>
      </c>
      <c r="C24" s="130" t="s">
        <v>88</v>
      </c>
      <c r="D24" s="17" t="s">
        <v>37</v>
      </c>
      <c r="E24" s="17" t="s">
        <v>25</v>
      </c>
      <c r="F24" s="65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40"/>
      <c r="R24" s="40"/>
      <c r="S24" s="39">
        <v>8</v>
      </c>
      <c r="T24" s="39"/>
      <c r="U24" s="39">
        <v>8</v>
      </c>
      <c r="V24" s="39"/>
      <c r="W24" s="39">
        <v>8</v>
      </c>
      <c r="X24" s="39">
        <v>2</v>
      </c>
      <c r="Y24" s="39">
        <v>8</v>
      </c>
      <c r="Z24" s="39">
        <v>2</v>
      </c>
      <c r="AA24" s="39"/>
      <c r="AB24" s="39"/>
      <c r="AC24" s="39">
        <v>8</v>
      </c>
      <c r="AD24" s="39"/>
      <c r="AE24" s="40"/>
      <c r="AF24" s="40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40"/>
      <c r="AT24" s="40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40"/>
      <c r="BH24" s="40"/>
      <c r="BI24" s="39"/>
      <c r="BJ24" s="39"/>
      <c r="BK24" s="39"/>
      <c r="BL24" s="39"/>
      <c r="BM24" s="39"/>
      <c r="BN24" s="39"/>
      <c r="BO24" s="39"/>
      <c r="BP24" s="39"/>
      <c r="BQ24" s="18">
        <f t="shared" si="0"/>
        <v>0</v>
      </c>
      <c r="BR24" s="18">
        <f t="shared" si="1"/>
        <v>0</v>
      </c>
      <c r="BS24" s="18">
        <f t="shared" si="2"/>
        <v>0</v>
      </c>
      <c r="BT24" s="19"/>
      <c r="BU24" s="18">
        <f t="shared" si="3"/>
        <v>40</v>
      </c>
      <c r="BV24" s="18">
        <f t="shared" si="4"/>
        <v>4</v>
      </c>
      <c r="BW24" s="18">
        <f t="shared" si="5"/>
        <v>0</v>
      </c>
      <c r="BX24" s="19"/>
      <c r="BY24" s="56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2"/>
      <c r="CM24" s="32"/>
      <c r="CN24" s="32"/>
      <c r="CO24" s="32"/>
      <c r="CP24" s="32"/>
      <c r="CQ24" s="32"/>
    </row>
    <row r="25" spans="1:95" ht="44.25" customHeight="1">
      <c r="A25" s="14" t="s">
        <v>89</v>
      </c>
      <c r="B25" s="15" t="s">
        <v>90</v>
      </c>
      <c r="C25" s="130" t="s">
        <v>91</v>
      </c>
      <c r="D25" s="17" t="s">
        <v>37</v>
      </c>
      <c r="E25" s="17" t="s">
        <v>25</v>
      </c>
      <c r="F25" s="65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0"/>
      <c r="R25" s="40"/>
      <c r="S25" s="39"/>
      <c r="T25" s="39"/>
      <c r="U25" s="39">
        <v>8</v>
      </c>
      <c r="V25" s="39"/>
      <c r="W25" s="39">
        <v>8</v>
      </c>
      <c r="X25" s="39"/>
      <c r="Y25" s="39">
        <v>8</v>
      </c>
      <c r="Z25" s="39"/>
      <c r="AA25" s="39">
        <v>8</v>
      </c>
      <c r="AB25" s="39"/>
      <c r="AC25" s="39">
        <v>8</v>
      </c>
      <c r="AD25" s="39"/>
      <c r="AE25" s="40"/>
      <c r="AF25" s="40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40"/>
      <c r="AT25" s="40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40"/>
      <c r="BH25" s="40"/>
      <c r="BI25" s="39"/>
      <c r="BJ25" s="39"/>
      <c r="BK25" s="39"/>
      <c r="BL25" s="39"/>
      <c r="BM25" s="39"/>
      <c r="BN25" s="39"/>
      <c r="BO25" s="39"/>
      <c r="BP25" s="39"/>
      <c r="BQ25" s="18"/>
      <c r="BR25" s="18"/>
      <c r="BS25" s="18"/>
      <c r="BT25" s="19"/>
      <c r="BU25" s="18">
        <f t="shared" si="3"/>
        <v>40</v>
      </c>
      <c r="BV25" s="18">
        <f t="shared" si="4"/>
        <v>0</v>
      </c>
      <c r="BW25" s="18">
        <f t="shared" si="5"/>
        <v>0</v>
      </c>
      <c r="BX25" s="19"/>
      <c r="BY25" s="56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2"/>
      <c r="CM25" s="32"/>
      <c r="CN25" s="32"/>
      <c r="CO25" s="32"/>
      <c r="CP25" s="32"/>
      <c r="CQ25" s="32"/>
    </row>
    <row r="26" spans="1:95" ht="44.25" customHeight="1">
      <c r="A26" s="14" t="s">
        <v>92</v>
      </c>
      <c r="B26" s="15" t="s">
        <v>93</v>
      </c>
      <c r="C26" s="130" t="s">
        <v>94</v>
      </c>
      <c r="D26" s="17" t="s">
        <v>37</v>
      </c>
      <c r="E26" s="17" t="s">
        <v>25</v>
      </c>
      <c r="F26" s="65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40"/>
      <c r="R26" s="40"/>
      <c r="S26" s="39">
        <v>8</v>
      </c>
      <c r="T26" s="39">
        <v>1.5</v>
      </c>
      <c r="U26" s="39">
        <v>8</v>
      </c>
      <c r="V26" s="39">
        <v>2</v>
      </c>
      <c r="W26" s="39">
        <v>8</v>
      </c>
      <c r="X26" s="39">
        <v>2</v>
      </c>
      <c r="Y26" s="39">
        <v>8</v>
      </c>
      <c r="Z26" s="39">
        <v>2</v>
      </c>
      <c r="AA26" s="39">
        <v>8</v>
      </c>
      <c r="AB26" s="39">
        <v>2</v>
      </c>
      <c r="AC26" s="39">
        <v>8</v>
      </c>
      <c r="AD26" s="39"/>
      <c r="AE26" s="40"/>
      <c r="AF26" s="40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40"/>
      <c r="AT26" s="40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40"/>
      <c r="BH26" s="40"/>
      <c r="BI26" s="39"/>
      <c r="BJ26" s="39"/>
      <c r="BK26" s="39"/>
      <c r="BL26" s="39"/>
      <c r="BM26" s="39"/>
      <c r="BN26" s="39"/>
      <c r="BO26" s="39"/>
      <c r="BP26" s="39"/>
      <c r="BQ26" s="18"/>
      <c r="BR26" s="18"/>
      <c r="BS26" s="18"/>
      <c r="BT26" s="19"/>
      <c r="BU26" s="18">
        <f t="shared" si="3"/>
        <v>48</v>
      </c>
      <c r="BV26" s="18">
        <f t="shared" si="4"/>
        <v>9.5</v>
      </c>
      <c r="BW26" s="18">
        <f t="shared" si="5"/>
        <v>0</v>
      </c>
      <c r="BX26" s="19"/>
      <c r="BY26" s="56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2"/>
      <c r="CM26" s="32"/>
      <c r="CN26" s="32"/>
      <c r="CO26" s="32"/>
      <c r="CP26" s="32"/>
      <c r="CQ26" s="32"/>
    </row>
    <row r="27" spans="1:95" ht="44.25" customHeight="1">
      <c r="A27" s="14"/>
      <c r="B27" s="15"/>
      <c r="C27" s="16"/>
      <c r="D27" s="17"/>
      <c r="E27" s="17"/>
      <c r="F27" s="65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40"/>
      <c r="R27" s="40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40"/>
      <c r="AF27" s="40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40"/>
      <c r="AT27" s="40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40"/>
      <c r="BH27" s="40"/>
      <c r="BI27" s="39"/>
      <c r="BJ27" s="39"/>
      <c r="BK27" s="39"/>
      <c r="BL27" s="39"/>
      <c r="BM27" s="39"/>
      <c r="BN27" s="39"/>
      <c r="BO27" s="39"/>
      <c r="BP27" s="39"/>
      <c r="BQ27" s="18"/>
      <c r="BR27" s="18"/>
      <c r="BS27" s="18"/>
      <c r="BT27" s="19"/>
      <c r="BU27" s="18">
        <f t="shared" si="3"/>
        <v>0</v>
      </c>
      <c r="BV27" s="18">
        <f t="shared" si="4"/>
        <v>0</v>
      </c>
      <c r="BW27" s="18">
        <f t="shared" si="5"/>
        <v>0</v>
      </c>
      <c r="BX27" s="19"/>
      <c r="BY27" s="56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2"/>
      <c r="CM27" s="32"/>
      <c r="CN27" s="32"/>
      <c r="CO27" s="32"/>
      <c r="CP27" s="32"/>
      <c r="CQ27" s="32"/>
    </row>
    <row r="28" spans="1:95" ht="59.25" customHeight="1">
      <c r="A28" s="14"/>
      <c r="B28" s="151" t="s">
        <v>95</v>
      </c>
      <c r="C28" s="150"/>
      <c r="D28" s="149"/>
      <c r="E28" s="20"/>
      <c r="F28" s="66"/>
      <c r="G28" s="41">
        <f t="shared" ref="G28:P28" si="6">COUNT(G7:G27)</f>
        <v>0</v>
      </c>
      <c r="H28" s="41">
        <f t="shared" si="6"/>
        <v>0</v>
      </c>
      <c r="I28" s="41">
        <f t="shared" si="6"/>
        <v>0</v>
      </c>
      <c r="J28" s="41">
        <f t="shared" si="6"/>
        <v>0</v>
      </c>
      <c r="K28" s="41">
        <f t="shared" si="6"/>
        <v>0</v>
      </c>
      <c r="L28" s="41">
        <f t="shared" si="6"/>
        <v>0</v>
      </c>
      <c r="M28" s="41">
        <f t="shared" si="6"/>
        <v>0</v>
      </c>
      <c r="N28" s="41">
        <f t="shared" si="6"/>
        <v>0</v>
      </c>
      <c r="O28" s="41">
        <f t="shared" si="6"/>
        <v>0</v>
      </c>
      <c r="P28" s="41">
        <f t="shared" si="6"/>
        <v>0</v>
      </c>
      <c r="Q28" s="41"/>
      <c r="R28" s="41"/>
      <c r="S28" s="41">
        <f t="shared" ref="S28:AX28" si="7">COUNT(S7:S27)</f>
        <v>17</v>
      </c>
      <c r="T28" s="41">
        <f t="shared" si="7"/>
        <v>5</v>
      </c>
      <c r="U28" s="41">
        <f t="shared" si="7"/>
        <v>17</v>
      </c>
      <c r="V28" s="41">
        <f t="shared" si="7"/>
        <v>8</v>
      </c>
      <c r="W28" s="41">
        <f t="shared" si="7"/>
        <v>18</v>
      </c>
      <c r="X28" s="41">
        <f t="shared" si="7"/>
        <v>12</v>
      </c>
      <c r="Y28" s="41">
        <f t="shared" si="7"/>
        <v>19</v>
      </c>
      <c r="Z28" s="41">
        <f t="shared" si="7"/>
        <v>14</v>
      </c>
      <c r="AA28" s="41">
        <f t="shared" si="7"/>
        <v>19</v>
      </c>
      <c r="AB28" s="41">
        <f t="shared" si="7"/>
        <v>10</v>
      </c>
      <c r="AC28" s="41">
        <f t="shared" si="7"/>
        <v>19</v>
      </c>
      <c r="AD28" s="41">
        <f t="shared" si="7"/>
        <v>0</v>
      </c>
      <c r="AE28" s="41">
        <f t="shared" si="7"/>
        <v>0</v>
      </c>
      <c r="AF28" s="41">
        <f t="shared" si="7"/>
        <v>0</v>
      </c>
      <c r="AG28" s="41">
        <f t="shared" si="7"/>
        <v>0</v>
      </c>
      <c r="AH28" s="41">
        <f t="shared" si="7"/>
        <v>0</v>
      </c>
      <c r="AI28" s="41">
        <f t="shared" si="7"/>
        <v>0</v>
      </c>
      <c r="AJ28" s="41">
        <f t="shared" si="7"/>
        <v>0</v>
      </c>
      <c r="AK28" s="41">
        <f t="shared" si="7"/>
        <v>0</v>
      </c>
      <c r="AL28" s="41">
        <f t="shared" si="7"/>
        <v>0</v>
      </c>
      <c r="AM28" s="41">
        <f t="shared" si="7"/>
        <v>0</v>
      </c>
      <c r="AN28" s="41">
        <f t="shared" si="7"/>
        <v>0</v>
      </c>
      <c r="AO28" s="41">
        <f t="shared" si="7"/>
        <v>0</v>
      </c>
      <c r="AP28" s="41">
        <f t="shared" si="7"/>
        <v>0</v>
      </c>
      <c r="AQ28" s="41">
        <f t="shared" si="7"/>
        <v>0</v>
      </c>
      <c r="AR28" s="41">
        <f t="shared" si="7"/>
        <v>0</v>
      </c>
      <c r="AS28" s="41">
        <f t="shared" si="7"/>
        <v>0</v>
      </c>
      <c r="AT28" s="41">
        <f t="shared" si="7"/>
        <v>0</v>
      </c>
      <c r="AU28" s="41">
        <f t="shared" si="7"/>
        <v>0</v>
      </c>
      <c r="AV28" s="41">
        <f t="shared" si="7"/>
        <v>0</v>
      </c>
      <c r="AW28" s="41">
        <f t="shared" si="7"/>
        <v>0</v>
      </c>
      <c r="AX28" s="41">
        <f t="shared" si="7"/>
        <v>0</v>
      </c>
      <c r="AY28" s="41">
        <f t="shared" ref="AY28:CD28" si="8">COUNT(AY7:AY27)</f>
        <v>0</v>
      </c>
      <c r="AZ28" s="41">
        <f t="shared" si="8"/>
        <v>0</v>
      </c>
      <c r="BA28" s="41">
        <f t="shared" si="8"/>
        <v>0</v>
      </c>
      <c r="BB28" s="41">
        <f t="shared" si="8"/>
        <v>0</v>
      </c>
      <c r="BC28" s="41">
        <f t="shared" si="8"/>
        <v>0</v>
      </c>
      <c r="BD28" s="41">
        <f t="shared" si="8"/>
        <v>0</v>
      </c>
      <c r="BE28" s="41">
        <f t="shared" si="8"/>
        <v>0</v>
      </c>
      <c r="BF28" s="41">
        <f t="shared" si="8"/>
        <v>0</v>
      </c>
      <c r="BG28" s="41">
        <f t="shared" si="8"/>
        <v>0</v>
      </c>
      <c r="BH28" s="41">
        <f t="shared" si="8"/>
        <v>0</v>
      </c>
      <c r="BI28" s="41">
        <f t="shared" si="8"/>
        <v>0</v>
      </c>
      <c r="BJ28" s="41">
        <f t="shared" si="8"/>
        <v>0</v>
      </c>
      <c r="BK28" s="41">
        <f t="shared" si="8"/>
        <v>0</v>
      </c>
      <c r="BL28" s="41">
        <f t="shared" si="8"/>
        <v>0</v>
      </c>
      <c r="BM28" s="41">
        <f t="shared" si="8"/>
        <v>0</v>
      </c>
      <c r="BN28" s="41">
        <f t="shared" si="8"/>
        <v>0</v>
      </c>
      <c r="BO28" s="41">
        <f t="shared" si="8"/>
        <v>0</v>
      </c>
      <c r="BP28" s="41">
        <f t="shared" si="8"/>
        <v>0</v>
      </c>
      <c r="BQ28" s="18">
        <f t="shared" ref="BQ28:BW28" si="9">SUM(BQ7:BQ27)</f>
        <v>0</v>
      </c>
      <c r="BR28" s="18">
        <f t="shared" si="9"/>
        <v>0</v>
      </c>
      <c r="BS28" s="18">
        <f t="shared" si="9"/>
        <v>0</v>
      </c>
      <c r="BT28" s="18">
        <f t="shared" si="9"/>
        <v>0</v>
      </c>
      <c r="BU28" s="18">
        <f t="shared" si="9"/>
        <v>872</v>
      </c>
      <c r="BV28" s="18">
        <f t="shared" si="9"/>
        <v>98.5</v>
      </c>
      <c r="BW28" s="18">
        <f t="shared" si="9"/>
        <v>0</v>
      </c>
      <c r="BX28" s="18"/>
      <c r="BY28" s="21"/>
    </row>
    <row r="29" spans="1:95" ht="22.75" customHeight="1">
      <c r="A29" s="62"/>
      <c r="B29" s="43"/>
      <c r="C29" s="23"/>
      <c r="D29" s="22"/>
      <c r="E29" s="22"/>
      <c r="F29" s="67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24"/>
      <c r="BP29" s="24"/>
      <c r="BQ29" s="25"/>
      <c r="BR29" s="25"/>
      <c r="BS29" s="25"/>
      <c r="BT29" s="25"/>
      <c r="BU29" s="25"/>
      <c r="BV29" s="25"/>
      <c r="BW29" s="25"/>
      <c r="BX29" s="25"/>
      <c r="BY29" s="25"/>
    </row>
    <row r="30" spans="1:95" ht="22.75" customHeight="1">
      <c r="A30" s="62"/>
      <c r="B30" s="30"/>
      <c r="C30" s="30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24"/>
      <c r="BP30" s="24"/>
      <c r="BQ30" s="25"/>
      <c r="BR30" s="25"/>
      <c r="BS30" s="25"/>
      <c r="BT30" s="25"/>
      <c r="BU30" s="25"/>
      <c r="BV30" s="25"/>
      <c r="BW30" s="25"/>
      <c r="BX30" s="25"/>
      <c r="BY30" s="25"/>
    </row>
    <row r="31" spans="1:95" ht="22.75" customHeight="1">
      <c r="A31" s="62"/>
      <c r="B31" s="43"/>
      <c r="C31" s="23"/>
      <c r="D31" s="22"/>
      <c r="E31" s="22"/>
      <c r="F31" s="67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24"/>
      <c r="BP31" s="24"/>
      <c r="BQ31" s="25"/>
      <c r="BR31" s="25"/>
      <c r="BS31" s="25"/>
      <c r="BT31" s="25"/>
      <c r="BU31" s="25"/>
      <c r="BV31" s="25"/>
      <c r="BW31" s="25"/>
      <c r="BX31" s="25"/>
      <c r="BY31" s="25"/>
    </row>
    <row r="32" spans="1:95" ht="22.75" customHeight="1">
      <c r="A32" s="62"/>
      <c r="B32" s="43"/>
      <c r="C32" s="23"/>
      <c r="D32" s="22"/>
      <c r="E32" s="22"/>
      <c r="F32" s="67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24"/>
      <c r="BP32" s="24"/>
      <c r="BQ32" s="25"/>
      <c r="BR32" s="25"/>
      <c r="BS32" s="25"/>
      <c r="BT32" s="25"/>
      <c r="BU32" s="25"/>
      <c r="BV32" s="25"/>
      <c r="BW32" s="25"/>
      <c r="BX32" s="25"/>
      <c r="BY32" s="25"/>
    </row>
    <row r="33" spans="1:77" ht="22.75" customHeight="1">
      <c r="A33" s="62"/>
      <c r="B33" s="43"/>
      <c r="C33" s="23"/>
      <c r="D33" s="22"/>
      <c r="E33" s="22"/>
      <c r="F33" s="67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24"/>
      <c r="BP33" s="24"/>
      <c r="BQ33" s="25"/>
      <c r="BR33" s="25"/>
      <c r="BS33" s="25"/>
      <c r="BT33" s="25"/>
      <c r="BU33" s="25"/>
      <c r="BV33" s="25"/>
      <c r="BW33" s="25"/>
      <c r="BX33" s="25"/>
      <c r="BY33" s="25"/>
    </row>
    <row r="34" spans="1:77" ht="22.75" customHeight="1">
      <c r="A34" s="62"/>
      <c r="B34" s="43"/>
      <c r="C34" s="23"/>
      <c r="D34" s="22"/>
      <c r="E34" s="22"/>
      <c r="F34" s="67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24"/>
      <c r="BP34" s="24"/>
      <c r="BQ34" s="25"/>
      <c r="BR34" s="25"/>
      <c r="BS34" s="25"/>
      <c r="BT34" s="25"/>
      <c r="BU34" s="25"/>
      <c r="BV34" s="25"/>
      <c r="BW34" s="25"/>
      <c r="BX34" s="25"/>
      <c r="BY34" s="25"/>
    </row>
    <row r="35" spans="1:77" ht="22.75" customHeight="1">
      <c r="A35" s="62"/>
      <c r="B35" s="43"/>
      <c r="C35" s="23"/>
      <c r="D35" s="22" t="s">
        <v>96</v>
      </c>
      <c r="E35" s="22"/>
      <c r="F35" s="67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24"/>
      <c r="BP35" s="24"/>
      <c r="BQ35" s="25"/>
      <c r="BR35" s="25"/>
      <c r="BS35" s="25"/>
      <c r="BT35" s="25"/>
      <c r="BU35" s="25"/>
      <c r="BV35" s="25"/>
      <c r="BW35" s="25"/>
      <c r="BX35" s="25"/>
      <c r="BY35" s="25"/>
    </row>
    <row r="36" spans="1:77" ht="22.75" customHeight="1">
      <c r="A36" s="62"/>
      <c r="B36" s="43"/>
      <c r="C36" s="23"/>
      <c r="D36" s="26" t="s">
        <v>97</v>
      </c>
      <c r="E36" s="22"/>
      <c r="F36" s="67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24"/>
      <c r="BP36" s="24"/>
      <c r="BQ36" s="25"/>
      <c r="BR36" s="25"/>
      <c r="BS36" s="25"/>
      <c r="BT36" s="25"/>
      <c r="BU36" s="25"/>
      <c r="BV36" s="25"/>
      <c r="BW36" s="25"/>
      <c r="BX36" s="25"/>
      <c r="BY36" s="25"/>
    </row>
    <row r="37" spans="1:77" ht="22.75" customHeight="1">
      <c r="A37" s="62"/>
      <c r="B37" s="43"/>
      <c r="C37" s="23"/>
      <c r="D37" s="22"/>
      <c r="E37" s="22"/>
      <c r="F37" s="67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24"/>
      <c r="BP37" s="24"/>
      <c r="BQ37" s="25"/>
      <c r="BR37" s="25"/>
      <c r="BS37" s="25"/>
      <c r="BT37" s="25"/>
      <c r="BU37" s="25"/>
      <c r="BV37" s="25"/>
      <c r="BW37" s="25"/>
      <c r="BX37" s="25"/>
      <c r="BY37" s="25"/>
    </row>
    <row r="38" spans="1:77" ht="22.75" customHeight="1">
      <c r="A38" s="62"/>
      <c r="B38" s="43"/>
      <c r="C38" s="23"/>
      <c r="D38" s="22"/>
      <c r="E38" s="22"/>
      <c r="F38" s="67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24"/>
      <c r="BP38" s="24"/>
      <c r="BQ38" s="25"/>
      <c r="BR38" s="25"/>
      <c r="BS38" s="25"/>
      <c r="BT38" s="25"/>
      <c r="BU38" s="25"/>
      <c r="BV38" s="25"/>
      <c r="BW38" s="25"/>
      <c r="BX38" s="25"/>
      <c r="BY38" s="25"/>
    </row>
    <row r="39" spans="1:77" ht="22.75" customHeight="1">
      <c r="A39" s="62"/>
      <c r="B39" s="43"/>
      <c r="C39" s="23"/>
      <c r="D39" s="22"/>
      <c r="E39" s="22"/>
      <c r="F39" s="67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24"/>
      <c r="BP39" s="24"/>
      <c r="BQ39" s="25"/>
      <c r="BR39" s="25"/>
      <c r="BS39" s="25"/>
      <c r="BT39" s="25"/>
      <c r="BU39" s="25"/>
      <c r="BV39" s="25"/>
      <c r="BW39" s="25"/>
      <c r="BX39" s="25"/>
      <c r="BY39" s="25"/>
    </row>
    <row r="40" spans="1:77" s="36" customFormat="1" ht="116.25" customHeight="1">
      <c r="A40" s="63"/>
      <c r="B40" s="44"/>
      <c r="C40" s="28"/>
      <c r="D40" s="27" t="s">
        <v>98</v>
      </c>
      <c r="E40" s="27"/>
      <c r="F40" s="69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34"/>
      <c r="BP40" s="34"/>
      <c r="BQ40" s="35"/>
      <c r="BR40" s="35"/>
      <c r="BS40" s="35"/>
      <c r="BT40" s="35"/>
      <c r="BU40" s="35"/>
      <c r="BV40" s="35"/>
      <c r="BW40" s="35"/>
      <c r="BX40" s="35"/>
      <c r="BY40" s="35"/>
    </row>
    <row r="41" spans="1:77" ht="22.75" customHeight="1">
      <c r="A41" s="62"/>
      <c r="B41" s="43"/>
      <c r="C41" s="23"/>
      <c r="D41" s="22"/>
      <c r="E41" s="22"/>
      <c r="F41" s="67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24"/>
      <c r="BP41" s="24"/>
      <c r="BQ41" s="25"/>
      <c r="BR41" s="25"/>
      <c r="BS41" s="25"/>
      <c r="BT41" s="25"/>
      <c r="BU41" s="25"/>
      <c r="BV41" s="25"/>
      <c r="BW41" s="25"/>
      <c r="BX41" s="25"/>
      <c r="BY41" s="25"/>
    </row>
    <row r="42" spans="1:77" ht="22.75" customHeight="1">
      <c r="A42" s="62"/>
      <c r="B42" s="43"/>
      <c r="C42" s="23"/>
      <c r="D42" s="22"/>
      <c r="E42" s="22"/>
      <c r="F42" s="67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24"/>
      <c r="BP42" s="24"/>
      <c r="BQ42" s="25"/>
      <c r="BR42" s="25"/>
      <c r="BS42" s="25"/>
      <c r="BT42" s="25"/>
      <c r="BU42" s="25"/>
      <c r="BV42" s="25"/>
      <c r="BW42" s="25"/>
      <c r="BX42" s="25"/>
      <c r="BY42" s="25"/>
    </row>
    <row r="43" spans="1:77" ht="22.75" customHeight="1">
      <c r="A43" s="62"/>
      <c r="B43" s="43"/>
      <c r="C43" s="23"/>
      <c r="D43" s="22"/>
      <c r="E43" s="22"/>
      <c r="F43" s="67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24"/>
      <c r="BP43" s="24"/>
      <c r="BQ43" s="25"/>
      <c r="BR43" s="25"/>
      <c r="BS43" s="25"/>
      <c r="BT43" s="25"/>
      <c r="BU43" s="25"/>
      <c r="BV43" s="25"/>
      <c r="BW43" s="25"/>
      <c r="BX43" s="25"/>
      <c r="BY43" s="25"/>
    </row>
    <row r="44" spans="1:77" ht="33" customHeight="1">
      <c r="A44" s="62"/>
      <c r="B44" s="43"/>
      <c r="C44" s="23"/>
      <c r="D44" s="22"/>
      <c r="E44" s="22"/>
      <c r="F44" s="67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24"/>
      <c r="BP44" s="24"/>
      <c r="BQ44" s="25"/>
      <c r="BR44" s="25"/>
      <c r="BS44" s="25"/>
      <c r="BT44" s="25"/>
      <c r="BU44" s="25"/>
      <c r="BV44" s="25"/>
      <c r="BW44" s="25"/>
      <c r="BX44" s="25"/>
      <c r="BY44" s="25"/>
    </row>
    <row r="45" spans="1:77" ht="33" customHeight="1">
      <c r="A45" s="62"/>
      <c r="B45" s="43"/>
      <c r="C45" s="23"/>
      <c r="D45" s="22"/>
      <c r="E45" s="22"/>
      <c r="F45" s="67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24"/>
      <c r="BP45" s="24"/>
      <c r="BQ45" s="25"/>
      <c r="BR45" s="25"/>
      <c r="BS45" s="25"/>
      <c r="BT45" s="25"/>
      <c r="BU45" s="25"/>
      <c r="BV45" s="25"/>
      <c r="BW45" s="25"/>
      <c r="BX45" s="25"/>
      <c r="BY45" s="25"/>
    </row>
    <row r="46" spans="1:77" ht="22.75" customHeight="1"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24"/>
      <c r="BP46" s="24"/>
      <c r="BQ46" s="37"/>
      <c r="BR46" s="37"/>
      <c r="BS46" s="37"/>
      <c r="BT46" s="37"/>
      <c r="BU46" s="37"/>
      <c r="BV46" s="37"/>
      <c r="BW46" s="37"/>
      <c r="BX46" s="37"/>
      <c r="BY46" s="37"/>
    </row>
    <row r="47" spans="1:77" ht="22.75" customHeight="1"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24"/>
      <c r="BP47" s="24"/>
      <c r="BQ47" s="37"/>
      <c r="BR47" s="37"/>
      <c r="BS47" s="37"/>
      <c r="BT47" s="37"/>
      <c r="BU47" s="37"/>
      <c r="BV47" s="37"/>
      <c r="BW47" s="37"/>
      <c r="BX47" s="37"/>
      <c r="BY47" s="37"/>
    </row>
    <row r="48" spans="1:77" ht="22.75" customHeight="1"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24"/>
      <c r="BP48" s="24"/>
      <c r="BQ48" s="37"/>
      <c r="BR48" s="37"/>
      <c r="BS48" s="37"/>
      <c r="BT48" s="37"/>
      <c r="BU48" s="37"/>
      <c r="BV48" s="37"/>
      <c r="BW48" s="37"/>
      <c r="BX48" s="37"/>
      <c r="BY48" s="37"/>
    </row>
    <row r="49" spans="7:77" ht="22.75" customHeight="1"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24"/>
      <c r="BP49" s="24"/>
      <c r="BQ49" s="37"/>
      <c r="BR49" s="37"/>
      <c r="BS49" s="37"/>
      <c r="BT49" s="37"/>
      <c r="BU49" s="37"/>
      <c r="BV49" s="37"/>
      <c r="BW49" s="37"/>
      <c r="BX49" s="37"/>
      <c r="BY49" s="37"/>
    </row>
    <row r="50" spans="7:77" ht="22.75" customHeight="1"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24"/>
      <c r="BP50" s="24"/>
      <c r="BQ50" s="37"/>
      <c r="BR50" s="37"/>
      <c r="BS50" s="37"/>
      <c r="BT50" s="37"/>
      <c r="BU50" s="37"/>
      <c r="BV50" s="37"/>
      <c r="BW50" s="37"/>
      <c r="BX50" s="37"/>
      <c r="BY50" s="37"/>
    </row>
    <row r="51" spans="7:77" ht="22.75" customHeight="1"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24"/>
      <c r="BP51" s="24"/>
      <c r="BQ51" s="37"/>
      <c r="BR51" s="37"/>
      <c r="BS51" s="37"/>
      <c r="BT51" s="37"/>
      <c r="BU51" s="37"/>
      <c r="BV51" s="37"/>
      <c r="BW51" s="37"/>
      <c r="BX51" s="37"/>
      <c r="BY51" s="37"/>
    </row>
    <row r="52" spans="7:77" ht="22.75" customHeight="1"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24"/>
      <c r="BP52" s="24"/>
      <c r="BQ52" s="37"/>
      <c r="BR52" s="37"/>
      <c r="BS52" s="37"/>
      <c r="BT52" s="37"/>
      <c r="BU52" s="37"/>
      <c r="BV52" s="37"/>
      <c r="BW52" s="37"/>
      <c r="BX52" s="37"/>
      <c r="BY52" s="37"/>
    </row>
    <row r="53" spans="7:77" ht="22.75" customHeight="1"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24"/>
      <c r="BP53" s="24"/>
      <c r="BQ53" s="37"/>
      <c r="BR53" s="37"/>
      <c r="BS53" s="37"/>
      <c r="BT53" s="37"/>
      <c r="BU53" s="37"/>
      <c r="BV53" s="37"/>
      <c r="BW53" s="37"/>
      <c r="BX53" s="37"/>
      <c r="BY53" s="37"/>
    </row>
    <row r="54" spans="7:77" ht="22.75" customHeight="1"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24"/>
      <c r="BP54" s="24"/>
      <c r="BQ54" s="37"/>
      <c r="BR54" s="37"/>
      <c r="BS54" s="37"/>
      <c r="BT54" s="37"/>
      <c r="BU54" s="37"/>
      <c r="BV54" s="37"/>
      <c r="BW54" s="37"/>
      <c r="BX54" s="37"/>
      <c r="BY54" s="37"/>
    </row>
    <row r="55" spans="7:77" ht="22.75" customHeight="1"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24"/>
      <c r="BP55" s="24"/>
      <c r="BQ55" s="37"/>
      <c r="BR55" s="37"/>
      <c r="BS55" s="37"/>
      <c r="BT55" s="37"/>
      <c r="BU55" s="37"/>
      <c r="BV55" s="37"/>
      <c r="BW55" s="37"/>
      <c r="BX55" s="37"/>
      <c r="BY55" s="37"/>
    </row>
    <row r="56" spans="7:77" ht="22.75" customHeight="1"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24"/>
      <c r="BP56" s="24"/>
      <c r="BQ56" s="37"/>
      <c r="BR56" s="37"/>
      <c r="BS56" s="37"/>
      <c r="BT56" s="37"/>
      <c r="BU56" s="37"/>
      <c r="BV56" s="37"/>
      <c r="BW56" s="37"/>
      <c r="BX56" s="37"/>
      <c r="BY56" s="37"/>
    </row>
    <row r="57" spans="7:77" ht="22.75" customHeight="1"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24"/>
      <c r="BP57" s="24"/>
      <c r="BQ57" s="37"/>
      <c r="BR57" s="37"/>
      <c r="BS57" s="37"/>
      <c r="BT57" s="37"/>
      <c r="BU57" s="37"/>
      <c r="BV57" s="37"/>
      <c r="BW57" s="37"/>
      <c r="BX57" s="37"/>
      <c r="BY57" s="37"/>
    </row>
    <row r="58" spans="7:77" ht="22.75" customHeight="1"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24"/>
      <c r="BP58" s="24"/>
      <c r="BQ58" s="37"/>
      <c r="BR58" s="37"/>
      <c r="BS58" s="37"/>
      <c r="BT58" s="37"/>
      <c r="BU58" s="37"/>
      <c r="BV58" s="37"/>
      <c r="BW58" s="37"/>
      <c r="BX58" s="37"/>
      <c r="BY58" s="37"/>
    </row>
    <row r="59" spans="7:77" ht="22.75" customHeight="1"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24"/>
      <c r="BP59" s="24"/>
      <c r="BQ59" s="37"/>
      <c r="BR59" s="37"/>
      <c r="BS59" s="37"/>
      <c r="BT59" s="37"/>
      <c r="BU59" s="37"/>
      <c r="BV59" s="37"/>
      <c r="BW59" s="37"/>
      <c r="BX59" s="37"/>
      <c r="BY59" s="37"/>
    </row>
    <row r="60" spans="7:77" ht="22.75" customHeight="1"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24"/>
      <c r="BP60" s="24"/>
      <c r="BQ60" s="37"/>
      <c r="BR60" s="37"/>
      <c r="BS60" s="37"/>
      <c r="BT60" s="37"/>
      <c r="BU60" s="37"/>
      <c r="BV60" s="37"/>
      <c r="BW60" s="37"/>
      <c r="BX60" s="37"/>
      <c r="BY60" s="37"/>
    </row>
    <row r="61" spans="7:77" ht="22.75" customHeight="1"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24"/>
      <c r="BP61" s="24"/>
      <c r="BQ61" s="37"/>
      <c r="BR61" s="37"/>
      <c r="BS61" s="37"/>
      <c r="BT61" s="37"/>
      <c r="BU61" s="37"/>
      <c r="BV61" s="37"/>
      <c r="BW61" s="37"/>
      <c r="BX61" s="37"/>
      <c r="BY61" s="37"/>
    </row>
    <row r="62" spans="7:77" ht="22.75" customHeight="1"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24"/>
      <c r="BP62" s="24"/>
      <c r="BQ62" s="37"/>
      <c r="BR62" s="37"/>
      <c r="BS62" s="37"/>
      <c r="BT62" s="37"/>
      <c r="BU62" s="37"/>
      <c r="BV62" s="37"/>
      <c r="BW62" s="37"/>
      <c r="BX62" s="37"/>
      <c r="BY62" s="37"/>
    </row>
    <row r="63" spans="7:77" ht="22.75" customHeight="1"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24"/>
      <c r="BP63" s="24"/>
      <c r="BQ63" s="37"/>
      <c r="BR63" s="37"/>
      <c r="BS63" s="37"/>
      <c r="BT63" s="37"/>
      <c r="BU63" s="37"/>
      <c r="BV63" s="37"/>
      <c r="BW63" s="37"/>
      <c r="BX63" s="37"/>
      <c r="BY63" s="37"/>
    </row>
    <row r="64" spans="7:77" ht="22.75" customHeight="1"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24"/>
      <c r="BP64" s="24"/>
      <c r="BQ64" s="37"/>
      <c r="BR64" s="37"/>
      <c r="BS64" s="37"/>
      <c r="BT64" s="37"/>
      <c r="BU64" s="37"/>
      <c r="BV64" s="37"/>
      <c r="BW64" s="37"/>
      <c r="BX64" s="37"/>
      <c r="BY64" s="37"/>
    </row>
    <row r="65" spans="7:77" ht="22.75" customHeight="1"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24"/>
      <c r="BP65" s="24"/>
      <c r="BQ65" s="37"/>
      <c r="BR65" s="37"/>
      <c r="BS65" s="37"/>
      <c r="BT65" s="37"/>
      <c r="BU65" s="37"/>
      <c r="BV65" s="37"/>
      <c r="BW65" s="37"/>
      <c r="BX65" s="37"/>
      <c r="BY65" s="37"/>
    </row>
    <row r="66" spans="7:77" ht="22.75" customHeight="1"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24"/>
      <c r="BP66" s="24"/>
      <c r="BQ66" s="37"/>
      <c r="BR66" s="37"/>
      <c r="BS66" s="37"/>
      <c r="BT66" s="37"/>
      <c r="BU66" s="37"/>
      <c r="BV66" s="37"/>
      <c r="BW66" s="37"/>
      <c r="BX66" s="37"/>
      <c r="BY66" s="37"/>
    </row>
    <row r="67" spans="7:77" ht="22.75" customHeight="1"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24"/>
      <c r="BP67" s="24"/>
      <c r="BQ67" s="37"/>
      <c r="BR67" s="37"/>
      <c r="BS67" s="37"/>
      <c r="BT67" s="37"/>
      <c r="BU67" s="37"/>
      <c r="BV67" s="37"/>
      <c r="BW67" s="37"/>
      <c r="BX67" s="37"/>
      <c r="BY67" s="37"/>
    </row>
    <row r="68" spans="7:77" ht="22.75" customHeight="1"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24"/>
      <c r="BP68" s="24"/>
      <c r="BQ68" s="37"/>
      <c r="BR68" s="37"/>
      <c r="BS68" s="37"/>
      <c r="BT68" s="37"/>
      <c r="BU68" s="37"/>
      <c r="BV68" s="37"/>
      <c r="BW68" s="37"/>
      <c r="BX68" s="37"/>
      <c r="BY68" s="37"/>
    </row>
    <row r="69" spans="7:77" ht="22.75" customHeight="1"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24"/>
      <c r="BP69" s="24"/>
      <c r="BQ69" s="37"/>
      <c r="BR69" s="37"/>
      <c r="BS69" s="37"/>
      <c r="BT69" s="37"/>
      <c r="BU69" s="37"/>
      <c r="BV69" s="37"/>
      <c r="BW69" s="37"/>
      <c r="BX69" s="37"/>
      <c r="BY69" s="37"/>
    </row>
    <row r="70" spans="7:77" ht="22.75" customHeight="1"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24"/>
      <c r="BP70" s="24"/>
      <c r="BQ70" s="37"/>
      <c r="BR70" s="37"/>
      <c r="BS70" s="37"/>
      <c r="BT70" s="37"/>
      <c r="BU70" s="37"/>
      <c r="BV70" s="37"/>
      <c r="BW70" s="37"/>
      <c r="BX70" s="37"/>
      <c r="BY70" s="37"/>
    </row>
    <row r="71" spans="7:77" ht="22.75" customHeight="1"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24"/>
      <c r="BP71" s="24"/>
      <c r="BQ71" s="37"/>
      <c r="BR71" s="37"/>
      <c r="BS71" s="37"/>
      <c r="BT71" s="37"/>
      <c r="BU71" s="37"/>
      <c r="BV71" s="37"/>
      <c r="BW71" s="37"/>
      <c r="BX71" s="37"/>
      <c r="BY71" s="37"/>
    </row>
    <row r="72" spans="7:77" ht="22.75" customHeight="1"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24"/>
      <c r="BP72" s="24"/>
      <c r="BQ72" s="37"/>
      <c r="BR72" s="37"/>
      <c r="BS72" s="37"/>
      <c r="BT72" s="37"/>
      <c r="BU72" s="37"/>
      <c r="BV72" s="37"/>
      <c r="BW72" s="37"/>
      <c r="BX72" s="37"/>
      <c r="BY72" s="37"/>
    </row>
    <row r="73" spans="7:77" ht="22.75" customHeight="1"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24"/>
      <c r="BP73" s="24"/>
      <c r="BQ73" s="37"/>
      <c r="BR73" s="37"/>
      <c r="BS73" s="37"/>
      <c r="BT73" s="37"/>
      <c r="BU73" s="37"/>
      <c r="BV73" s="37"/>
      <c r="BW73" s="37"/>
      <c r="BX73" s="37"/>
      <c r="BY73" s="37"/>
    </row>
    <row r="74" spans="7:77" ht="22.75" customHeight="1"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24"/>
      <c r="BP74" s="24"/>
      <c r="BQ74" s="37"/>
      <c r="BR74" s="37"/>
      <c r="BS74" s="37"/>
      <c r="BT74" s="37"/>
      <c r="BU74" s="37"/>
      <c r="BV74" s="37"/>
      <c r="BW74" s="37"/>
      <c r="BX74" s="37"/>
      <c r="BY74" s="37"/>
    </row>
    <row r="75" spans="7:77" ht="22.75" customHeight="1"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24"/>
      <c r="BP75" s="24"/>
      <c r="BQ75" s="37"/>
      <c r="BR75" s="37"/>
      <c r="BS75" s="37"/>
      <c r="BT75" s="37"/>
      <c r="BU75" s="37"/>
      <c r="BV75" s="37"/>
      <c r="BW75" s="37"/>
      <c r="BX75" s="37"/>
      <c r="BY75" s="37"/>
    </row>
    <row r="76" spans="7:77" ht="22.75" customHeight="1"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24"/>
      <c r="BP76" s="24"/>
      <c r="BQ76" s="37"/>
      <c r="BR76" s="37"/>
      <c r="BS76" s="37"/>
      <c r="BT76" s="37"/>
      <c r="BU76" s="37"/>
      <c r="BV76" s="37"/>
      <c r="BW76" s="37"/>
      <c r="BX76" s="37"/>
      <c r="BY76" s="37"/>
    </row>
    <row r="77" spans="7:77" ht="22.75" customHeight="1"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24"/>
      <c r="BP77" s="24"/>
      <c r="BQ77" s="37"/>
      <c r="BR77" s="37"/>
      <c r="BS77" s="37"/>
      <c r="BT77" s="37"/>
      <c r="BU77" s="37"/>
      <c r="BV77" s="37"/>
      <c r="BW77" s="37"/>
      <c r="BX77" s="37"/>
      <c r="BY77" s="37"/>
    </row>
    <row r="78" spans="7:77" ht="22.75" customHeight="1"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24"/>
      <c r="BP78" s="24"/>
      <c r="BQ78" s="37"/>
      <c r="BR78" s="37"/>
      <c r="BS78" s="37"/>
      <c r="BT78" s="37"/>
      <c r="BU78" s="37"/>
      <c r="BV78" s="37"/>
      <c r="BW78" s="37"/>
      <c r="BX78" s="37"/>
      <c r="BY78" s="37"/>
    </row>
    <row r="79" spans="7:77" ht="22.75" customHeight="1"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24"/>
      <c r="BP79" s="24"/>
      <c r="BQ79" s="37"/>
      <c r="BR79" s="37"/>
      <c r="BS79" s="37"/>
      <c r="BT79" s="37"/>
      <c r="BU79" s="37"/>
      <c r="BV79" s="37"/>
      <c r="BW79" s="37"/>
      <c r="BX79" s="37"/>
      <c r="BY79" s="37"/>
    </row>
    <row r="80" spans="7:77" ht="22.75" customHeight="1"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24"/>
      <c r="BP80" s="24"/>
      <c r="BQ80" s="37"/>
      <c r="BR80" s="37"/>
      <c r="BS80" s="37"/>
      <c r="BT80" s="37"/>
      <c r="BU80" s="37"/>
      <c r="BV80" s="37"/>
      <c r="BW80" s="37"/>
      <c r="BX80" s="37"/>
      <c r="BY80" s="37"/>
    </row>
    <row r="81" spans="7:77" ht="22.75" customHeight="1"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24"/>
      <c r="BP81" s="24"/>
      <c r="BQ81" s="37"/>
      <c r="BR81" s="37"/>
      <c r="BS81" s="37"/>
      <c r="BT81" s="37"/>
      <c r="BU81" s="37"/>
      <c r="BV81" s="37"/>
      <c r="BW81" s="37"/>
      <c r="BX81" s="37"/>
      <c r="BY81" s="37"/>
    </row>
    <row r="82" spans="7:77" ht="22.75" customHeight="1"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24"/>
      <c r="BP82" s="24"/>
      <c r="BQ82" s="37"/>
      <c r="BR82" s="37"/>
      <c r="BS82" s="37"/>
      <c r="BT82" s="37"/>
      <c r="BU82" s="37"/>
      <c r="BV82" s="37"/>
      <c r="BW82" s="37"/>
      <c r="BX82" s="37"/>
      <c r="BY82" s="37"/>
    </row>
    <row r="83" spans="7:77" ht="22.75" customHeight="1"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24"/>
      <c r="BP83" s="24"/>
      <c r="BQ83" s="37"/>
      <c r="BR83" s="37"/>
      <c r="BS83" s="37"/>
      <c r="BT83" s="37"/>
      <c r="BU83" s="37"/>
      <c r="BV83" s="37"/>
      <c r="BW83" s="37"/>
      <c r="BX83" s="37"/>
      <c r="BY83" s="37"/>
    </row>
    <row r="84" spans="7:77" ht="22.75" customHeight="1"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24"/>
      <c r="BP84" s="24"/>
      <c r="BQ84" s="37"/>
      <c r="BR84" s="37"/>
      <c r="BS84" s="37"/>
      <c r="BT84" s="37"/>
      <c r="BU84" s="37"/>
      <c r="BV84" s="37"/>
      <c r="BW84" s="37"/>
      <c r="BX84" s="37"/>
      <c r="BY84" s="37"/>
    </row>
    <row r="85" spans="7:77" ht="22.75" customHeight="1"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24"/>
      <c r="BP85" s="24"/>
      <c r="BQ85" s="37"/>
      <c r="BR85" s="37"/>
      <c r="BS85" s="37"/>
      <c r="BT85" s="37"/>
      <c r="BU85" s="37"/>
      <c r="BV85" s="37"/>
      <c r="BW85" s="37"/>
      <c r="BX85" s="37"/>
      <c r="BY85" s="37"/>
    </row>
    <row r="86" spans="7:77" ht="22.75" customHeight="1"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24"/>
      <c r="BP86" s="24"/>
      <c r="BQ86" s="37"/>
      <c r="BR86" s="37"/>
      <c r="BS86" s="37"/>
      <c r="BT86" s="37"/>
      <c r="BU86" s="37"/>
      <c r="BV86" s="37"/>
      <c r="BW86" s="37"/>
      <c r="BX86" s="37"/>
      <c r="BY86" s="37"/>
    </row>
    <row r="87" spans="7:77" ht="22.75" customHeight="1"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24"/>
      <c r="BP87" s="24"/>
      <c r="BQ87" s="37"/>
      <c r="BR87" s="37"/>
      <c r="BS87" s="37"/>
      <c r="BT87" s="37"/>
      <c r="BU87" s="37"/>
      <c r="BV87" s="37"/>
      <c r="BW87" s="37"/>
      <c r="BX87" s="37"/>
      <c r="BY87" s="37"/>
    </row>
    <row r="88" spans="7:77" ht="22.75" customHeight="1"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24"/>
      <c r="BP88" s="24"/>
      <c r="BQ88" s="37"/>
      <c r="BR88" s="37"/>
      <c r="BS88" s="37"/>
      <c r="BT88" s="37"/>
      <c r="BU88" s="37"/>
      <c r="BV88" s="37"/>
      <c r="BW88" s="37"/>
      <c r="BX88" s="37"/>
      <c r="BY88" s="37"/>
    </row>
    <row r="89" spans="7:77" ht="22.75" customHeight="1"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24"/>
      <c r="BP89" s="24"/>
      <c r="BQ89" s="37"/>
      <c r="BR89" s="37"/>
      <c r="BS89" s="37"/>
      <c r="BT89" s="37"/>
      <c r="BU89" s="37"/>
      <c r="BV89" s="37"/>
      <c r="BW89" s="37"/>
      <c r="BX89" s="37"/>
      <c r="BY89" s="37"/>
    </row>
    <row r="90" spans="7:77" ht="22.75" customHeight="1"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24"/>
      <c r="BP90" s="24"/>
      <c r="BQ90" s="37"/>
      <c r="BR90" s="37"/>
      <c r="BS90" s="37"/>
      <c r="BT90" s="37"/>
      <c r="BU90" s="37"/>
      <c r="BV90" s="37"/>
      <c r="BW90" s="37"/>
      <c r="BX90" s="37"/>
      <c r="BY90" s="37"/>
    </row>
    <row r="91" spans="7:77" ht="22.75" customHeight="1"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24"/>
      <c r="BP91" s="24"/>
      <c r="BQ91" s="37"/>
      <c r="BR91" s="37"/>
      <c r="BS91" s="37"/>
      <c r="BT91" s="37"/>
      <c r="BU91" s="37"/>
      <c r="BV91" s="37"/>
      <c r="BW91" s="37"/>
      <c r="BX91" s="37"/>
      <c r="BY91" s="37"/>
    </row>
    <row r="92" spans="7:77" ht="22.75" customHeight="1"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24"/>
      <c r="BP92" s="24"/>
      <c r="BQ92" s="37"/>
      <c r="BR92" s="37"/>
      <c r="BS92" s="37"/>
      <c r="BT92" s="37"/>
      <c r="BU92" s="37"/>
      <c r="BV92" s="37"/>
      <c r="BW92" s="37"/>
      <c r="BX92" s="37"/>
      <c r="BY92" s="37"/>
    </row>
    <row r="93" spans="7:77" ht="22.75" customHeight="1"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24"/>
      <c r="BP93" s="24"/>
      <c r="BQ93" s="37"/>
      <c r="BR93" s="37"/>
      <c r="BS93" s="37"/>
      <c r="BT93" s="37"/>
      <c r="BU93" s="37"/>
      <c r="BV93" s="37"/>
      <c r="BW93" s="37"/>
      <c r="BX93" s="37"/>
      <c r="BY93" s="37"/>
    </row>
    <row r="94" spans="7:77" ht="22.75" customHeight="1"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24"/>
      <c r="BP94" s="24"/>
      <c r="BQ94" s="37"/>
      <c r="BR94" s="37"/>
      <c r="BS94" s="37"/>
      <c r="BT94" s="37"/>
      <c r="BU94" s="37"/>
      <c r="BV94" s="37"/>
      <c r="BW94" s="37"/>
      <c r="BX94" s="37"/>
      <c r="BY94" s="37"/>
    </row>
    <row r="95" spans="7:77" ht="22.75" customHeight="1"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24"/>
      <c r="BP95" s="24"/>
      <c r="BQ95" s="37"/>
      <c r="BR95" s="37"/>
      <c r="BS95" s="37"/>
      <c r="BT95" s="37"/>
      <c r="BU95" s="37"/>
      <c r="BV95" s="37"/>
      <c r="BW95" s="37"/>
      <c r="BX95" s="37"/>
      <c r="BY95" s="37"/>
    </row>
    <row r="96" spans="7:77" ht="22.75" customHeight="1"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24"/>
      <c r="BP96" s="24"/>
      <c r="BQ96" s="37"/>
      <c r="BR96" s="37"/>
      <c r="BS96" s="37"/>
      <c r="BT96" s="37"/>
      <c r="BU96" s="37"/>
      <c r="BV96" s="37"/>
      <c r="BW96" s="37"/>
      <c r="BX96" s="37"/>
      <c r="BY96" s="37"/>
    </row>
    <row r="97" spans="7:77" ht="22.75" customHeight="1"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24"/>
      <c r="BP97" s="24"/>
      <c r="BQ97" s="37"/>
      <c r="BR97" s="37"/>
      <c r="BS97" s="37"/>
      <c r="BT97" s="37"/>
      <c r="BU97" s="37"/>
      <c r="BV97" s="37"/>
      <c r="BW97" s="37"/>
      <c r="BX97" s="37"/>
      <c r="BY97" s="37"/>
    </row>
    <row r="98" spans="7:77" ht="22.75" customHeight="1"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24"/>
      <c r="BP98" s="24"/>
      <c r="BQ98" s="37"/>
      <c r="BR98" s="37"/>
      <c r="BS98" s="37"/>
      <c r="BT98" s="37"/>
      <c r="BU98" s="37"/>
      <c r="BV98" s="37"/>
      <c r="BW98" s="37"/>
      <c r="BX98" s="37"/>
      <c r="BY98" s="37"/>
    </row>
    <row r="99" spans="7:77" ht="22.75" customHeight="1"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24"/>
      <c r="BP99" s="24"/>
      <c r="BQ99" s="37"/>
      <c r="BR99" s="37"/>
      <c r="BS99" s="37"/>
      <c r="BT99" s="37"/>
      <c r="BU99" s="37"/>
      <c r="BV99" s="37"/>
      <c r="BW99" s="37"/>
      <c r="BX99" s="37"/>
      <c r="BY99" s="37"/>
    </row>
    <row r="100" spans="7:77" ht="22.75" customHeight="1"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24"/>
      <c r="BP100" s="24"/>
      <c r="BQ100" s="37"/>
      <c r="BR100" s="37"/>
      <c r="BS100" s="37"/>
      <c r="BT100" s="37"/>
      <c r="BU100" s="37"/>
      <c r="BV100" s="37"/>
      <c r="BW100" s="37"/>
      <c r="BX100" s="37"/>
      <c r="BY100" s="37"/>
    </row>
    <row r="101" spans="7:77" ht="22.75" customHeight="1"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24"/>
      <c r="BP101" s="24"/>
      <c r="BQ101" s="37"/>
      <c r="BR101" s="37"/>
      <c r="BS101" s="37"/>
      <c r="BT101" s="37"/>
      <c r="BU101" s="37"/>
      <c r="BV101" s="37"/>
      <c r="BW101" s="37"/>
      <c r="BX101" s="37"/>
      <c r="BY101" s="37"/>
    </row>
    <row r="102" spans="7:77" ht="22.75" customHeight="1"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24"/>
      <c r="BP102" s="24"/>
      <c r="BQ102" s="37"/>
      <c r="BR102" s="37"/>
      <c r="BS102" s="37"/>
      <c r="BT102" s="37"/>
      <c r="BU102" s="37"/>
      <c r="BV102" s="37"/>
      <c r="BW102" s="37"/>
      <c r="BX102" s="37"/>
      <c r="BY102" s="37"/>
    </row>
    <row r="103" spans="7:77" ht="22.75" customHeight="1"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24"/>
      <c r="BP103" s="24"/>
      <c r="BQ103" s="37"/>
      <c r="BR103" s="37"/>
      <c r="BS103" s="37"/>
      <c r="BT103" s="37"/>
      <c r="BU103" s="37"/>
      <c r="BV103" s="37"/>
      <c r="BW103" s="37"/>
      <c r="BX103" s="37"/>
      <c r="BY103" s="37"/>
    </row>
    <row r="104" spans="7:77" ht="22.75" customHeight="1"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24"/>
      <c r="BP104" s="24"/>
      <c r="BQ104" s="37"/>
      <c r="BR104" s="37"/>
      <c r="BS104" s="37"/>
      <c r="BT104" s="37"/>
      <c r="BU104" s="37"/>
      <c r="BV104" s="37"/>
      <c r="BW104" s="37"/>
      <c r="BX104" s="37"/>
      <c r="BY104" s="37"/>
    </row>
    <row r="105" spans="7:77" ht="22.75" customHeight="1"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24"/>
      <c r="BP105" s="24"/>
      <c r="BQ105" s="37"/>
      <c r="BR105" s="37"/>
      <c r="BS105" s="37"/>
      <c r="BT105" s="37"/>
      <c r="BU105" s="37"/>
      <c r="BV105" s="37"/>
      <c r="BW105" s="37"/>
      <c r="BX105" s="37"/>
      <c r="BY105" s="37"/>
    </row>
    <row r="106" spans="7:77" ht="22.75" customHeight="1"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24"/>
      <c r="BP106" s="24"/>
      <c r="BQ106" s="37"/>
      <c r="BR106" s="37"/>
      <c r="BS106" s="37"/>
      <c r="BT106" s="37"/>
      <c r="BU106" s="37"/>
      <c r="BV106" s="37"/>
      <c r="BW106" s="37"/>
      <c r="BX106" s="37"/>
      <c r="BY106" s="37"/>
    </row>
    <row r="107" spans="7:77" ht="22.75" customHeight="1"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24"/>
      <c r="BP107" s="24"/>
      <c r="BQ107" s="37"/>
      <c r="BR107" s="37"/>
      <c r="BS107" s="37"/>
      <c r="BT107" s="37"/>
      <c r="BU107" s="37"/>
      <c r="BV107" s="37"/>
      <c r="BW107" s="37"/>
      <c r="BX107" s="37"/>
      <c r="BY107" s="37"/>
    </row>
    <row r="108" spans="7:77" ht="22.75" customHeight="1"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24"/>
      <c r="BP108" s="24"/>
      <c r="BQ108" s="37"/>
      <c r="BR108" s="37"/>
      <c r="BS108" s="37"/>
      <c r="BT108" s="37"/>
      <c r="BU108" s="37"/>
      <c r="BV108" s="37"/>
      <c r="BW108" s="37"/>
      <c r="BX108" s="37"/>
      <c r="BY108" s="37"/>
    </row>
    <row r="109" spans="7:77" ht="22.75" customHeight="1"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24"/>
      <c r="BP109" s="24"/>
      <c r="BQ109" s="37"/>
      <c r="BR109" s="37"/>
      <c r="BS109" s="37"/>
      <c r="BT109" s="37"/>
      <c r="BU109" s="37"/>
      <c r="BV109" s="37"/>
      <c r="BW109" s="37"/>
      <c r="BX109" s="37"/>
      <c r="BY109" s="37"/>
    </row>
    <row r="110" spans="7:77" ht="22.75" customHeight="1"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24"/>
      <c r="BP110" s="24"/>
      <c r="BQ110" s="37"/>
      <c r="BR110" s="37"/>
      <c r="BS110" s="37"/>
      <c r="BT110" s="37"/>
      <c r="BU110" s="37"/>
      <c r="BV110" s="37"/>
      <c r="BW110" s="37"/>
      <c r="BX110" s="37"/>
      <c r="BY110" s="37"/>
    </row>
    <row r="111" spans="7:77" ht="22.75" customHeight="1"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24"/>
      <c r="BP111" s="24"/>
      <c r="BQ111" s="37"/>
      <c r="BR111" s="37"/>
      <c r="BS111" s="37"/>
      <c r="BT111" s="37"/>
      <c r="BU111" s="37"/>
      <c r="BV111" s="37"/>
      <c r="BW111" s="37"/>
      <c r="BX111" s="37"/>
      <c r="BY111" s="37"/>
    </row>
    <row r="112" spans="7:77" ht="22.75" customHeight="1"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24"/>
      <c r="BP112" s="24"/>
      <c r="BQ112" s="37"/>
      <c r="BR112" s="37"/>
      <c r="BS112" s="37"/>
      <c r="BT112" s="37"/>
      <c r="BU112" s="37"/>
      <c r="BV112" s="37"/>
      <c r="BW112" s="37"/>
      <c r="BX112" s="37"/>
      <c r="BY112" s="37"/>
    </row>
    <row r="113" spans="7:77" ht="22.75" customHeight="1"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24"/>
      <c r="BP113" s="24"/>
      <c r="BQ113" s="37"/>
      <c r="BR113" s="37"/>
      <c r="BS113" s="37"/>
      <c r="BT113" s="37"/>
      <c r="BU113" s="37"/>
      <c r="BV113" s="37"/>
      <c r="BW113" s="37"/>
      <c r="BX113" s="37"/>
      <c r="BY113" s="37"/>
    </row>
    <row r="114" spans="7:77" ht="22.75" customHeight="1"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24"/>
      <c r="BP114" s="24"/>
      <c r="BQ114" s="37"/>
      <c r="BR114" s="37"/>
      <c r="BS114" s="37"/>
      <c r="BT114" s="37"/>
      <c r="BU114" s="37"/>
      <c r="BV114" s="37"/>
      <c r="BW114" s="37"/>
      <c r="BX114" s="37"/>
      <c r="BY114" s="37"/>
    </row>
    <row r="115" spans="7:77" ht="22.75" customHeight="1"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24"/>
      <c r="BP115" s="24"/>
      <c r="BQ115" s="37"/>
      <c r="BR115" s="37"/>
      <c r="BS115" s="37"/>
      <c r="BT115" s="37"/>
      <c r="BU115" s="37"/>
      <c r="BV115" s="37"/>
      <c r="BW115" s="37"/>
      <c r="BX115" s="37"/>
      <c r="BY115" s="37"/>
    </row>
    <row r="116" spans="7:77" ht="22.75" customHeight="1"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24"/>
      <c r="BP116" s="24"/>
      <c r="BQ116" s="37"/>
      <c r="BR116" s="37"/>
      <c r="BS116" s="37"/>
      <c r="BT116" s="37"/>
      <c r="BU116" s="37"/>
      <c r="BV116" s="37"/>
      <c r="BW116" s="37"/>
      <c r="BX116" s="37"/>
      <c r="BY116" s="37"/>
    </row>
    <row r="117" spans="7:77" ht="22.75" customHeight="1"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24"/>
      <c r="BP117" s="24"/>
      <c r="BQ117" s="37"/>
      <c r="BR117" s="37"/>
      <c r="BS117" s="37"/>
      <c r="BT117" s="37"/>
      <c r="BU117" s="37"/>
      <c r="BV117" s="37"/>
      <c r="BW117" s="37"/>
      <c r="BX117" s="37"/>
      <c r="BY117" s="37"/>
    </row>
    <row r="118" spans="7:77" ht="22.75" customHeight="1"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24"/>
      <c r="BP118" s="24"/>
      <c r="BQ118" s="37"/>
      <c r="BR118" s="37"/>
      <c r="BS118" s="37"/>
      <c r="BT118" s="37"/>
      <c r="BU118" s="37"/>
      <c r="BV118" s="37"/>
      <c r="BW118" s="37"/>
      <c r="BX118" s="37"/>
      <c r="BY118" s="37"/>
    </row>
    <row r="119" spans="7:77" ht="22.75" customHeight="1"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24"/>
      <c r="BP119" s="24"/>
      <c r="BQ119" s="37"/>
      <c r="BR119" s="37"/>
      <c r="BS119" s="37"/>
      <c r="BT119" s="37"/>
      <c r="BU119" s="37"/>
      <c r="BV119" s="37"/>
      <c r="BW119" s="37"/>
      <c r="BX119" s="37"/>
      <c r="BY119" s="37"/>
    </row>
    <row r="120" spans="7:77" ht="22.75" customHeight="1"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24"/>
      <c r="BP120" s="24"/>
      <c r="BQ120" s="37"/>
      <c r="BR120" s="37"/>
      <c r="BS120" s="37"/>
      <c r="BT120" s="37"/>
      <c r="BU120" s="37"/>
      <c r="BV120" s="37"/>
      <c r="BW120" s="37"/>
      <c r="BX120" s="37"/>
      <c r="BY120" s="37"/>
    </row>
    <row r="121" spans="7:77" ht="22.75" customHeight="1"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24"/>
      <c r="BP121" s="24"/>
      <c r="BQ121" s="37"/>
      <c r="BR121" s="37"/>
      <c r="BS121" s="37"/>
      <c r="BT121" s="37"/>
      <c r="BU121" s="37"/>
      <c r="BV121" s="37"/>
      <c r="BW121" s="37"/>
      <c r="BX121" s="37"/>
      <c r="BY121" s="37"/>
    </row>
    <row r="122" spans="7:77" ht="22.75" customHeight="1"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24"/>
      <c r="BP122" s="24"/>
      <c r="BQ122" s="37"/>
      <c r="BR122" s="37"/>
      <c r="BS122" s="37"/>
      <c r="BT122" s="37"/>
      <c r="BU122" s="37"/>
      <c r="BV122" s="37"/>
      <c r="BW122" s="37"/>
      <c r="BX122" s="37"/>
      <c r="BY122" s="37"/>
    </row>
    <row r="123" spans="7:77" ht="22.75" customHeight="1"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24"/>
      <c r="BP123" s="24"/>
      <c r="BQ123" s="37"/>
      <c r="BR123" s="37"/>
      <c r="BS123" s="37"/>
      <c r="BT123" s="37"/>
      <c r="BU123" s="37"/>
      <c r="BV123" s="37"/>
      <c r="BW123" s="37"/>
      <c r="BX123" s="37"/>
      <c r="BY123" s="37"/>
    </row>
    <row r="124" spans="7:77" ht="22.75" customHeight="1"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24"/>
      <c r="BP124" s="24"/>
      <c r="BQ124" s="37"/>
      <c r="BR124" s="37"/>
      <c r="BS124" s="37"/>
      <c r="BT124" s="37"/>
      <c r="BU124" s="37"/>
      <c r="BV124" s="37"/>
      <c r="BW124" s="37"/>
      <c r="BX124" s="37"/>
      <c r="BY124" s="37"/>
    </row>
    <row r="125" spans="7:77" ht="22.75" customHeight="1"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24"/>
      <c r="BP125" s="24"/>
      <c r="BQ125" s="37"/>
      <c r="BR125" s="37"/>
      <c r="BS125" s="37"/>
      <c r="BT125" s="37"/>
      <c r="BU125" s="37"/>
      <c r="BV125" s="37"/>
      <c r="BW125" s="37"/>
      <c r="BX125" s="37"/>
      <c r="BY125" s="37"/>
    </row>
    <row r="126" spans="7:77" ht="22.75" customHeight="1"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24"/>
      <c r="BP126" s="24"/>
      <c r="BQ126" s="37"/>
      <c r="BR126" s="37"/>
      <c r="BS126" s="37"/>
      <c r="BT126" s="37"/>
      <c r="BU126" s="37"/>
      <c r="BV126" s="37"/>
      <c r="BW126" s="37"/>
      <c r="BX126" s="37"/>
      <c r="BY126" s="37"/>
    </row>
    <row r="127" spans="7:77" ht="22.75" customHeight="1"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24"/>
      <c r="BP127" s="24"/>
      <c r="BQ127" s="37"/>
      <c r="BR127" s="37"/>
      <c r="BS127" s="37"/>
      <c r="BT127" s="37"/>
      <c r="BU127" s="37"/>
      <c r="BV127" s="37"/>
      <c r="BW127" s="37"/>
      <c r="BX127" s="37"/>
      <c r="BY127" s="37"/>
    </row>
    <row r="128" spans="7:77" ht="22.75" customHeight="1"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24"/>
      <c r="BP128" s="24"/>
      <c r="BQ128" s="37"/>
      <c r="BR128" s="37"/>
      <c r="BS128" s="37"/>
      <c r="BT128" s="37"/>
      <c r="BU128" s="37"/>
      <c r="BV128" s="37"/>
      <c r="BW128" s="37"/>
      <c r="BX128" s="37"/>
      <c r="BY128" s="37"/>
    </row>
    <row r="129" spans="7:77" ht="22.75" customHeight="1"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24"/>
      <c r="BP129" s="24"/>
      <c r="BQ129" s="37"/>
      <c r="BR129" s="37"/>
      <c r="BS129" s="37"/>
      <c r="BT129" s="37"/>
      <c r="BU129" s="37"/>
      <c r="BV129" s="37"/>
      <c r="BW129" s="37"/>
      <c r="BX129" s="37"/>
      <c r="BY129" s="37"/>
    </row>
    <row r="130" spans="7:77" ht="22.75" customHeight="1"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24"/>
      <c r="BP130" s="24"/>
      <c r="BQ130" s="37"/>
      <c r="BR130" s="37"/>
      <c r="BS130" s="37"/>
      <c r="BT130" s="37"/>
      <c r="BU130" s="37"/>
      <c r="BV130" s="37"/>
      <c r="BW130" s="37"/>
      <c r="BX130" s="37"/>
      <c r="BY130" s="37"/>
    </row>
    <row r="131" spans="7:77" ht="22.75" customHeight="1"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24"/>
      <c r="BP131" s="24"/>
      <c r="BQ131" s="37"/>
      <c r="BR131" s="37"/>
      <c r="BS131" s="37"/>
      <c r="BT131" s="37"/>
      <c r="BU131" s="37"/>
      <c r="BV131" s="37"/>
      <c r="BW131" s="37"/>
      <c r="BX131" s="37"/>
      <c r="BY131" s="37"/>
    </row>
    <row r="132" spans="7:77" ht="22.75" customHeight="1"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24"/>
      <c r="BP132" s="24"/>
      <c r="BQ132" s="37"/>
      <c r="BR132" s="37"/>
      <c r="BS132" s="37"/>
      <c r="BT132" s="37"/>
      <c r="BU132" s="37"/>
      <c r="BV132" s="37"/>
      <c r="BW132" s="37"/>
      <c r="BX132" s="37"/>
      <c r="BY132" s="37"/>
    </row>
    <row r="133" spans="7:77" ht="22.75" customHeight="1"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24"/>
      <c r="BP133" s="24"/>
      <c r="BQ133" s="37"/>
      <c r="BR133" s="37"/>
      <c r="BS133" s="37"/>
      <c r="BT133" s="37"/>
      <c r="BU133" s="37"/>
      <c r="BV133" s="37"/>
      <c r="BW133" s="37"/>
      <c r="BX133" s="37"/>
      <c r="BY133" s="37"/>
    </row>
    <row r="134" spans="7:77" ht="22.75" customHeight="1"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24"/>
      <c r="BP134" s="24"/>
      <c r="BQ134" s="37"/>
      <c r="BR134" s="37"/>
      <c r="BS134" s="37"/>
      <c r="BT134" s="37"/>
      <c r="BU134" s="37"/>
      <c r="BV134" s="37"/>
      <c r="BW134" s="37"/>
      <c r="BX134" s="37"/>
      <c r="BY134" s="37"/>
    </row>
    <row r="135" spans="7:77" ht="22.75" customHeight="1"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24"/>
      <c r="BP135" s="24"/>
      <c r="BQ135" s="37"/>
      <c r="BR135" s="37"/>
      <c r="BS135" s="37"/>
      <c r="BT135" s="37"/>
      <c r="BU135" s="37"/>
      <c r="BV135" s="37"/>
      <c r="BW135" s="37"/>
      <c r="BX135" s="37"/>
      <c r="BY135" s="37"/>
    </row>
    <row r="136" spans="7:77" ht="22.75" customHeight="1"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24"/>
      <c r="BP136" s="24"/>
      <c r="BQ136" s="37"/>
      <c r="BR136" s="37"/>
      <c r="BS136" s="37"/>
      <c r="BT136" s="37"/>
      <c r="BU136" s="37"/>
      <c r="BV136" s="37"/>
      <c r="BW136" s="37"/>
      <c r="BX136" s="37"/>
      <c r="BY136" s="37"/>
    </row>
    <row r="137" spans="7:77" ht="22.75" customHeight="1"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24"/>
      <c r="BP137" s="24"/>
      <c r="BQ137" s="37"/>
      <c r="BR137" s="37"/>
      <c r="BS137" s="37"/>
      <c r="BT137" s="37"/>
      <c r="BU137" s="37"/>
      <c r="BV137" s="37"/>
      <c r="BW137" s="37"/>
      <c r="BX137" s="37"/>
      <c r="BY137" s="37"/>
    </row>
    <row r="138" spans="7:77" ht="22.75" customHeight="1"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24"/>
      <c r="BP138" s="24"/>
      <c r="BQ138" s="37"/>
      <c r="BR138" s="37"/>
      <c r="BS138" s="37"/>
      <c r="BT138" s="37"/>
      <c r="BU138" s="37"/>
      <c r="BV138" s="37"/>
      <c r="BW138" s="37"/>
      <c r="BX138" s="37"/>
      <c r="BY138" s="37"/>
    </row>
    <row r="139" spans="7:77" ht="22.75" customHeight="1"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24"/>
      <c r="BP139" s="24"/>
      <c r="BQ139" s="37"/>
      <c r="BR139" s="37"/>
      <c r="BS139" s="37"/>
      <c r="BT139" s="37"/>
      <c r="BU139" s="37"/>
      <c r="BV139" s="37"/>
      <c r="BW139" s="37"/>
      <c r="BX139" s="37"/>
      <c r="BY139" s="37"/>
    </row>
    <row r="140" spans="7:77" ht="22.75" customHeight="1"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24"/>
      <c r="BP140" s="24"/>
      <c r="BQ140" s="37"/>
      <c r="BR140" s="37"/>
      <c r="BS140" s="37"/>
      <c r="BT140" s="37"/>
      <c r="BU140" s="37"/>
      <c r="BV140" s="37"/>
      <c r="BW140" s="37"/>
      <c r="BX140" s="37"/>
      <c r="BY140" s="37"/>
    </row>
    <row r="141" spans="7:77" ht="22.75" customHeight="1"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24"/>
      <c r="BP141" s="24"/>
      <c r="BQ141" s="37"/>
      <c r="BR141" s="37"/>
      <c r="BS141" s="37"/>
      <c r="BT141" s="37"/>
      <c r="BU141" s="37"/>
      <c r="BV141" s="37"/>
      <c r="BW141" s="37"/>
      <c r="BX141" s="37"/>
      <c r="BY141" s="37"/>
    </row>
    <row r="142" spans="7:77" ht="22.75" customHeight="1"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24"/>
      <c r="BP142" s="24"/>
      <c r="BQ142" s="37"/>
      <c r="BR142" s="37"/>
      <c r="BS142" s="37"/>
      <c r="BT142" s="37"/>
      <c r="BU142" s="37"/>
      <c r="BV142" s="37"/>
      <c r="BW142" s="37"/>
      <c r="BX142" s="37"/>
      <c r="BY142" s="37"/>
    </row>
    <row r="143" spans="7:77" ht="22.75" customHeight="1"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24"/>
      <c r="BP143" s="24"/>
      <c r="BQ143" s="37"/>
      <c r="BR143" s="37"/>
      <c r="BS143" s="37"/>
      <c r="BT143" s="37"/>
      <c r="BU143" s="37"/>
      <c r="BV143" s="37"/>
      <c r="BW143" s="37"/>
      <c r="BX143" s="37"/>
      <c r="BY143" s="37"/>
    </row>
    <row r="144" spans="7:77" ht="22.75" customHeight="1"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24"/>
      <c r="BP144" s="24"/>
      <c r="BQ144" s="37"/>
      <c r="BR144" s="37"/>
      <c r="BS144" s="37"/>
      <c r="BT144" s="37"/>
      <c r="BU144" s="37"/>
      <c r="BV144" s="37"/>
      <c r="BW144" s="37"/>
      <c r="BX144" s="37"/>
      <c r="BY144" s="37"/>
    </row>
    <row r="145" spans="7:77" ht="22.75" customHeight="1"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24"/>
      <c r="BP145" s="24"/>
      <c r="BQ145" s="37"/>
      <c r="BR145" s="37"/>
      <c r="BS145" s="37"/>
      <c r="BT145" s="37"/>
      <c r="BU145" s="37"/>
      <c r="BV145" s="37"/>
      <c r="BW145" s="37"/>
      <c r="BX145" s="37"/>
      <c r="BY145" s="37"/>
    </row>
    <row r="146" spans="7:77" ht="22.75" customHeight="1"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24"/>
      <c r="BP146" s="24"/>
      <c r="BQ146" s="37"/>
      <c r="BR146" s="37"/>
      <c r="BS146" s="37"/>
      <c r="BT146" s="37"/>
      <c r="BU146" s="37"/>
      <c r="BV146" s="37"/>
      <c r="BW146" s="37"/>
      <c r="BX146" s="37"/>
      <c r="BY146" s="37"/>
    </row>
    <row r="147" spans="7:77" ht="22.75" customHeight="1"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24"/>
      <c r="BP147" s="24"/>
      <c r="BQ147" s="37"/>
      <c r="BR147" s="37"/>
      <c r="BS147" s="37"/>
      <c r="BT147" s="37"/>
      <c r="BU147" s="37"/>
      <c r="BV147" s="37"/>
      <c r="BW147" s="37"/>
      <c r="BX147" s="37"/>
      <c r="BY147" s="37"/>
    </row>
    <row r="148" spans="7:77" ht="22.75" customHeight="1"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24"/>
      <c r="BP148" s="24"/>
      <c r="BQ148" s="37"/>
      <c r="BR148" s="37"/>
      <c r="BS148" s="37"/>
      <c r="BT148" s="37"/>
      <c r="BU148" s="37"/>
      <c r="BV148" s="37"/>
      <c r="BW148" s="37"/>
      <c r="BX148" s="37"/>
      <c r="BY148" s="37"/>
    </row>
    <row r="149" spans="7:77" ht="22.75" customHeight="1"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24"/>
      <c r="BP149" s="24"/>
      <c r="BQ149" s="37"/>
      <c r="BR149" s="37"/>
      <c r="BS149" s="37"/>
      <c r="BT149" s="37"/>
      <c r="BU149" s="37"/>
      <c r="BV149" s="37"/>
      <c r="BW149" s="37"/>
      <c r="BX149" s="37"/>
      <c r="BY149" s="37"/>
    </row>
    <row r="150" spans="7:77" ht="22.75" customHeight="1"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24"/>
      <c r="BP150" s="24"/>
      <c r="BQ150" s="37"/>
      <c r="BR150" s="37"/>
      <c r="BS150" s="37"/>
      <c r="BT150" s="37"/>
      <c r="BU150" s="37"/>
      <c r="BV150" s="37"/>
      <c r="BW150" s="37"/>
      <c r="BX150" s="37"/>
      <c r="BY150" s="37"/>
    </row>
    <row r="151" spans="7:77" ht="22.75" customHeight="1"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24"/>
      <c r="BP151" s="24"/>
      <c r="BQ151" s="37"/>
      <c r="BR151" s="37"/>
      <c r="BS151" s="37"/>
      <c r="BT151" s="37"/>
      <c r="BU151" s="37"/>
      <c r="BV151" s="37"/>
      <c r="BW151" s="37"/>
      <c r="BX151" s="37"/>
      <c r="BY151" s="37"/>
    </row>
    <row r="152" spans="7:77" ht="22.75" customHeight="1"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24"/>
      <c r="BP152" s="24"/>
      <c r="BQ152" s="37"/>
      <c r="BR152" s="37"/>
      <c r="BS152" s="37"/>
      <c r="BT152" s="37"/>
      <c r="BU152" s="37"/>
      <c r="BV152" s="37"/>
      <c r="BW152" s="37"/>
      <c r="BX152" s="37"/>
      <c r="BY152" s="37"/>
    </row>
    <row r="153" spans="7:77" ht="22.75" customHeight="1"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24"/>
      <c r="BP153" s="24"/>
      <c r="BQ153" s="37"/>
      <c r="BR153" s="37"/>
      <c r="BS153" s="37"/>
      <c r="BT153" s="37"/>
      <c r="BU153" s="37"/>
      <c r="BV153" s="37"/>
      <c r="BW153" s="37"/>
      <c r="BX153" s="37"/>
      <c r="BY153" s="37"/>
    </row>
    <row r="154" spans="7:77" ht="22.75" customHeight="1"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24"/>
      <c r="BP154" s="24"/>
      <c r="BQ154" s="37"/>
      <c r="BR154" s="37"/>
      <c r="BS154" s="37"/>
      <c r="BT154" s="37"/>
      <c r="BU154" s="37"/>
      <c r="BV154" s="37"/>
      <c r="BW154" s="37"/>
      <c r="BX154" s="37"/>
      <c r="BY154" s="37"/>
    </row>
    <row r="155" spans="7:77" ht="22.75" customHeight="1"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24"/>
      <c r="BP155" s="24"/>
      <c r="BQ155" s="37"/>
      <c r="BR155" s="37"/>
      <c r="BS155" s="37"/>
      <c r="BT155" s="37"/>
      <c r="BU155" s="37"/>
      <c r="BV155" s="37"/>
      <c r="BW155" s="37"/>
      <c r="BX155" s="37"/>
      <c r="BY155" s="37"/>
    </row>
    <row r="156" spans="7:77" ht="22.75" customHeight="1"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24"/>
      <c r="BP156" s="24"/>
      <c r="BQ156" s="37"/>
      <c r="BR156" s="37"/>
      <c r="BS156" s="37"/>
      <c r="BT156" s="37"/>
      <c r="BU156" s="37"/>
      <c r="BV156" s="37"/>
      <c r="BW156" s="37"/>
      <c r="BX156" s="37"/>
      <c r="BY156" s="37"/>
    </row>
    <row r="157" spans="7:77" ht="22.75" customHeight="1"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24"/>
      <c r="BP157" s="24"/>
      <c r="BQ157" s="37"/>
      <c r="BR157" s="37"/>
      <c r="BS157" s="37"/>
      <c r="BT157" s="37"/>
      <c r="BU157" s="37"/>
      <c r="BV157" s="37"/>
      <c r="BW157" s="37"/>
      <c r="BX157" s="37"/>
      <c r="BY157" s="37"/>
    </row>
    <row r="158" spans="7:77" ht="22.75" customHeight="1"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24"/>
      <c r="BP158" s="24"/>
      <c r="BQ158" s="37"/>
      <c r="BR158" s="37"/>
      <c r="BS158" s="37"/>
      <c r="BT158" s="37"/>
      <c r="BU158" s="37"/>
      <c r="BV158" s="37"/>
      <c r="BW158" s="37"/>
      <c r="BX158" s="37"/>
      <c r="BY158" s="37"/>
    </row>
    <row r="159" spans="7:77" ht="22.75" customHeight="1"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24"/>
      <c r="BP159" s="24"/>
      <c r="BQ159" s="37"/>
      <c r="BR159" s="37"/>
      <c r="BS159" s="37"/>
      <c r="BT159" s="37"/>
      <c r="BU159" s="37"/>
      <c r="BV159" s="37"/>
      <c r="BW159" s="37"/>
      <c r="BX159" s="37"/>
      <c r="BY159" s="37"/>
    </row>
    <row r="160" spans="7:77" ht="22.75" customHeight="1"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24"/>
      <c r="BP160" s="24"/>
      <c r="BQ160" s="37"/>
      <c r="BR160" s="37"/>
      <c r="BS160" s="37"/>
      <c r="BT160" s="37"/>
      <c r="BU160" s="37"/>
      <c r="BV160" s="37"/>
      <c r="BW160" s="37"/>
      <c r="BX160" s="37"/>
      <c r="BY160" s="37"/>
    </row>
    <row r="161" spans="7:77" ht="22.75" customHeight="1"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24"/>
      <c r="BP161" s="24"/>
      <c r="BQ161" s="37"/>
      <c r="BR161" s="37"/>
      <c r="BS161" s="37"/>
      <c r="BT161" s="37"/>
      <c r="BU161" s="37"/>
      <c r="BV161" s="37"/>
      <c r="BW161" s="37"/>
      <c r="BX161" s="37"/>
      <c r="BY161" s="37"/>
    </row>
    <row r="162" spans="7:77" ht="22.75" customHeight="1"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24"/>
      <c r="BP162" s="24"/>
      <c r="BQ162" s="37"/>
      <c r="BR162" s="37"/>
      <c r="BS162" s="37"/>
      <c r="BT162" s="37"/>
      <c r="BU162" s="37"/>
      <c r="BV162" s="37"/>
      <c r="BW162" s="37"/>
      <c r="BX162" s="37"/>
      <c r="BY162" s="37"/>
    </row>
    <row r="163" spans="7:77" ht="22.75" customHeight="1"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24"/>
      <c r="BP163" s="24"/>
      <c r="BQ163" s="37"/>
      <c r="BR163" s="37"/>
      <c r="BS163" s="37"/>
      <c r="BT163" s="37"/>
      <c r="BU163" s="37"/>
      <c r="BV163" s="37"/>
      <c r="BW163" s="37"/>
      <c r="BX163" s="37"/>
      <c r="BY163" s="37"/>
    </row>
    <row r="164" spans="7:77" ht="22.75" customHeight="1"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24"/>
      <c r="BP164" s="24"/>
      <c r="BQ164" s="37"/>
      <c r="BR164" s="37"/>
      <c r="BS164" s="37"/>
      <c r="BT164" s="37"/>
      <c r="BU164" s="37"/>
      <c r="BV164" s="37"/>
      <c r="BW164" s="37"/>
      <c r="BX164" s="37"/>
      <c r="BY164" s="37"/>
    </row>
    <row r="165" spans="7:77" ht="22.75" customHeight="1"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24"/>
      <c r="BP165" s="24"/>
      <c r="BQ165" s="37"/>
      <c r="BR165" s="37"/>
      <c r="BS165" s="37"/>
      <c r="BT165" s="37"/>
      <c r="BU165" s="37"/>
      <c r="BV165" s="37"/>
      <c r="BW165" s="37"/>
      <c r="BX165" s="37"/>
      <c r="BY165" s="37"/>
    </row>
    <row r="166" spans="7:77" ht="22.75" customHeight="1"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24"/>
      <c r="BP166" s="24"/>
      <c r="BQ166" s="37"/>
      <c r="BR166" s="37"/>
      <c r="BS166" s="37"/>
      <c r="BT166" s="37"/>
      <c r="BU166" s="37"/>
      <c r="BV166" s="37"/>
      <c r="BW166" s="37"/>
      <c r="BX166" s="37"/>
      <c r="BY166" s="37"/>
    </row>
    <row r="167" spans="7:77" ht="22.75" customHeight="1"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24"/>
      <c r="BP167" s="24"/>
      <c r="BQ167" s="37"/>
      <c r="BR167" s="37"/>
      <c r="BS167" s="37"/>
      <c r="BT167" s="37"/>
      <c r="BU167" s="37"/>
      <c r="BV167" s="37"/>
      <c r="BW167" s="37"/>
      <c r="BX167" s="37"/>
      <c r="BY167" s="37"/>
    </row>
    <row r="168" spans="7:77" ht="22.75" customHeight="1"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24"/>
      <c r="BP168" s="24"/>
      <c r="BQ168" s="37"/>
      <c r="BR168" s="37"/>
      <c r="BS168" s="37"/>
      <c r="BT168" s="37"/>
      <c r="BU168" s="37"/>
      <c r="BV168" s="37"/>
      <c r="BW168" s="37"/>
      <c r="BX168" s="37"/>
      <c r="BY168" s="37"/>
    </row>
    <row r="169" spans="7:77" ht="22.75" customHeight="1"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24"/>
      <c r="BP169" s="24"/>
      <c r="BQ169" s="37"/>
      <c r="BR169" s="37"/>
      <c r="BS169" s="37"/>
      <c r="BT169" s="37"/>
      <c r="BU169" s="37"/>
      <c r="BV169" s="37"/>
      <c r="BW169" s="37"/>
      <c r="BX169" s="37"/>
      <c r="BY169" s="37"/>
    </row>
    <row r="170" spans="7:77" ht="22.75" customHeight="1"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24"/>
      <c r="BP170" s="24"/>
      <c r="BQ170" s="37"/>
      <c r="BR170" s="37"/>
      <c r="BS170" s="37"/>
      <c r="BT170" s="37"/>
      <c r="BU170" s="37"/>
      <c r="BV170" s="37"/>
      <c r="BW170" s="37"/>
      <c r="BX170" s="37"/>
      <c r="BY170" s="37"/>
    </row>
    <row r="171" spans="7:77" ht="22.75" customHeight="1"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24"/>
      <c r="BP171" s="24"/>
      <c r="BQ171" s="37"/>
      <c r="BR171" s="37"/>
      <c r="BS171" s="37"/>
      <c r="BT171" s="37"/>
      <c r="BU171" s="37"/>
      <c r="BV171" s="37"/>
      <c r="BW171" s="37"/>
      <c r="BX171" s="37"/>
      <c r="BY171" s="37"/>
    </row>
    <row r="172" spans="7:77" ht="22.75" customHeight="1"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24"/>
      <c r="BP172" s="24"/>
      <c r="BQ172" s="37"/>
      <c r="BR172" s="37"/>
      <c r="BS172" s="37"/>
      <c r="BT172" s="37"/>
      <c r="BU172" s="37"/>
      <c r="BV172" s="37"/>
      <c r="BW172" s="37"/>
      <c r="BX172" s="37"/>
      <c r="BY172" s="37"/>
    </row>
    <row r="173" spans="7:77" ht="22.75" customHeight="1"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24"/>
      <c r="BP173" s="24"/>
      <c r="BQ173" s="37"/>
      <c r="BR173" s="37"/>
      <c r="BS173" s="37"/>
      <c r="BT173" s="37"/>
      <c r="BU173" s="37"/>
      <c r="BV173" s="37"/>
      <c r="BW173" s="37"/>
      <c r="BX173" s="37"/>
      <c r="BY173" s="37"/>
    </row>
    <row r="174" spans="7:77" ht="22.75" customHeight="1"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24"/>
      <c r="BP174" s="24"/>
      <c r="BQ174" s="37"/>
      <c r="BR174" s="37"/>
      <c r="BS174" s="37"/>
      <c r="BT174" s="37"/>
      <c r="BU174" s="37"/>
      <c r="BV174" s="37"/>
      <c r="BW174" s="37"/>
      <c r="BX174" s="37"/>
      <c r="BY174" s="37"/>
    </row>
    <row r="175" spans="7:77" ht="22.75" customHeight="1"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24"/>
      <c r="BP175" s="24"/>
      <c r="BQ175" s="37"/>
      <c r="BR175" s="37"/>
      <c r="BS175" s="37"/>
      <c r="BT175" s="37"/>
      <c r="BU175" s="37"/>
      <c r="BV175" s="37"/>
      <c r="BW175" s="37"/>
      <c r="BX175" s="37"/>
      <c r="BY175" s="37"/>
    </row>
    <row r="176" spans="7:77" ht="22.75" customHeight="1"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24"/>
      <c r="BP176" s="24"/>
      <c r="BQ176" s="37"/>
      <c r="BR176" s="37"/>
      <c r="BS176" s="37"/>
      <c r="BT176" s="37"/>
      <c r="BU176" s="37"/>
      <c r="BV176" s="37"/>
      <c r="BW176" s="37"/>
      <c r="BX176" s="37"/>
      <c r="BY176" s="37"/>
    </row>
    <row r="177" spans="7:77" ht="22.75" customHeight="1"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24"/>
      <c r="BP177" s="24"/>
      <c r="BQ177" s="37"/>
      <c r="BR177" s="37"/>
      <c r="BS177" s="37"/>
      <c r="BT177" s="37"/>
      <c r="BU177" s="37"/>
      <c r="BV177" s="37"/>
      <c r="BW177" s="37"/>
      <c r="BX177" s="37"/>
      <c r="BY177" s="37"/>
    </row>
    <row r="178" spans="7:77" ht="22.75" customHeight="1"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24"/>
      <c r="BP178" s="24"/>
      <c r="BQ178" s="37"/>
      <c r="BR178" s="37"/>
      <c r="BS178" s="37"/>
      <c r="BT178" s="37"/>
      <c r="BU178" s="37"/>
      <c r="BV178" s="37"/>
      <c r="BW178" s="37"/>
      <c r="BX178" s="37"/>
      <c r="BY178" s="37"/>
    </row>
    <row r="179" spans="7:77" ht="22.75" customHeight="1"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24"/>
      <c r="BP179" s="24"/>
      <c r="BQ179" s="37"/>
      <c r="BR179" s="37"/>
      <c r="BS179" s="37"/>
      <c r="BT179" s="37"/>
      <c r="BU179" s="37"/>
      <c r="BV179" s="37"/>
      <c r="BW179" s="37"/>
      <c r="BX179" s="37"/>
      <c r="BY179" s="37"/>
    </row>
    <row r="180" spans="7:77" ht="22.75" customHeight="1"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24"/>
      <c r="BP180" s="24"/>
      <c r="BQ180" s="37"/>
      <c r="BR180" s="37"/>
      <c r="BS180" s="37"/>
      <c r="BT180" s="37"/>
      <c r="BU180" s="37"/>
      <c r="BV180" s="37"/>
      <c r="BW180" s="37"/>
      <c r="BX180" s="37"/>
      <c r="BY180" s="37"/>
    </row>
    <row r="181" spans="7:77" ht="22.75" customHeight="1"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24"/>
      <c r="BP181" s="24"/>
      <c r="BQ181" s="37"/>
      <c r="BR181" s="37"/>
      <c r="BS181" s="37"/>
      <c r="BT181" s="37"/>
      <c r="BU181" s="37"/>
      <c r="BV181" s="37"/>
      <c r="BW181" s="37"/>
      <c r="BX181" s="37"/>
      <c r="BY181" s="37"/>
    </row>
    <row r="182" spans="7:77" ht="22.75" customHeight="1"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24"/>
      <c r="BP182" s="24"/>
      <c r="BQ182" s="37"/>
      <c r="BR182" s="37"/>
      <c r="BS182" s="37"/>
      <c r="BT182" s="37"/>
      <c r="BU182" s="37"/>
      <c r="BV182" s="37"/>
      <c r="BW182" s="37"/>
      <c r="BX182" s="37"/>
      <c r="BY182" s="37"/>
    </row>
    <row r="183" spans="7:77" ht="22.75" customHeight="1"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24"/>
      <c r="BP183" s="24"/>
      <c r="BQ183" s="37"/>
      <c r="BR183" s="37"/>
      <c r="BS183" s="37"/>
      <c r="BT183" s="37"/>
      <c r="BU183" s="37"/>
      <c r="BV183" s="37"/>
      <c r="BW183" s="37"/>
      <c r="BX183" s="37"/>
      <c r="BY183" s="37"/>
    </row>
    <row r="184" spans="7:77" ht="22.75" customHeight="1"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24"/>
      <c r="BP184" s="24"/>
      <c r="BQ184" s="37"/>
      <c r="BR184" s="37"/>
      <c r="BS184" s="37"/>
      <c r="BT184" s="37"/>
      <c r="BU184" s="37"/>
      <c r="BV184" s="37"/>
      <c r="BW184" s="37"/>
      <c r="BX184" s="37"/>
      <c r="BY184" s="37"/>
    </row>
    <row r="185" spans="7:77" ht="22.75" customHeight="1"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24"/>
      <c r="BP185" s="24"/>
      <c r="BQ185" s="37"/>
      <c r="BR185" s="37"/>
      <c r="BS185" s="37"/>
      <c r="BT185" s="37"/>
      <c r="BU185" s="37"/>
      <c r="BV185" s="37"/>
      <c r="BW185" s="37"/>
      <c r="BX185" s="37"/>
      <c r="BY185" s="37"/>
    </row>
    <row r="186" spans="7:77" ht="22.75" customHeight="1"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24"/>
      <c r="BP186" s="24"/>
      <c r="BQ186" s="37"/>
      <c r="BR186" s="37"/>
      <c r="BS186" s="37"/>
      <c r="BT186" s="37"/>
      <c r="BU186" s="37"/>
      <c r="BV186" s="37"/>
      <c r="BW186" s="37"/>
      <c r="BX186" s="37"/>
      <c r="BY186" s="37"/>
    </row>
    <row r="187" spans="7:77" ht="22.75" customHeight="1"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24"/>
      <c r="BP187" s="24"/>
      <c r="BQ187" s="37"/>
      <c r="BR187" s="37"/>
      <c r="BS187" s="37"/>
      <c r="BT187" s="37"/>
      <c r="BU187" s="37"/>
      <c r="BV187" s="37"/>
      <c r="BW187" s="37"/>
      <c r="BX187" s="37"/>
      <c r="BY187" s="37"/>
    </row>
    <row r="188" spans="7:77" ht="22.75" customHeight="1"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24"/>
      <c r="BP188" s="24"/>
      <c r="BQ188" s="37"/>
      <c r="BR188" s="37"/>
      <c r="BS188" s="37"/>
      <c r="BT188" s="37"/>
      <c r="BU188" s="37"/>
      <c r="BV188" s="37"/>
      <c r="BW188" s="37"/>
      <c r="BX188" s="37"/>
      <c r="BY188" s="37"/>
    </row>
    <row r="189" spans="7:77" ht="22.75" customHeight="1"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24"/>
      <c r="BP189" s="24"/>
      <c r="BQ189" s="37"/>
      <c r="BR189" s="37"/>
      <c r="BS189" s="37"/>
      <c r="BT189" s="37"/>
      <c r="BU189" s="37"/>
      <c r="BV189" s="37"/>
      <c r="BW189" s="37"/>
      <c r="BX189" s="37"/>
      <c r="BY189" s="37"/>
    </row>
    <row r="190" spans="7:77" ht="22.75" customHeight="1"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24"/>
      <c r="BP190" s="24"/>
      <c r="BQ190" s="37"/>
      <c r="BR190" s="37"/>
      <c r="BS190" s="37"/>
      <c r="BT190" s="37"/>
      <c r="BU190" s="37"/>
      <c r="BV190" s="37"/>
      <c r="BW190" s="37"/>
      <c r="BX190" s="37"/>
      <c r="BY190" s="37"/>
    </row>
    <row r="191" spans="7:77" ht="22.75" customHeight="1"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24"/>
      <c r="BP191" s="24"/>
      <c r="BQ191" s="37"/>
      <c r="BR191" s="37"/>
      <c r="BS191" s="37"/>
      <c r="BT191" s="37"/>
      <c r="BU191" s="37"/>
      <c r="BV191" s="37"/>
      <c r="BW191" s="37"/>
      <c r="BX191" s="37"/>
      <c r="BY191" s="37"/>
    </row>
    <row r="192" spans="7:77" ht="22.75" customHeight="1"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24"/>
      <c r="BP192" s="24"/>
      <c r="BQ192" s="37"/>
      <c r="BR192" s="37"/>
      <c r="BS192" s="37"/>
      <c r="BT192" s="37"/>
      <c r="BU192" s="37"/>
      <c r="BV192" s="37"/>
      <c r="BW192" s="37"/>
      <c r="BX192" s="37"/>
      <c r="BY192" s="37"/>
    </row>
    <row r="193" spans="7:77" ht="22.75" customHeight="1"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24"/>
      <c r="BP193" s="24"/>
      <c r="BQ193" s="37"/>
      <c r="BR193" s="37"/>
      <c r="BS193" s="37"/>
      <c r="BT193" s="37"/>
      <c r="BU193" s="37"/>
      <c r="BV193" s="37"/>
      <c r="BW193" s="37"/>
      <c r="BX193" s="37"/>
      <c r="BY193" s="37"/>
    </row>
    <row r="194" spans="7:77" ht="22.75" customHeight="1"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24"/>
      <c r="BP194" s="24"/>
      <c r="BQ194" s="37"/>
      <c r="BR194" s="37"/>
      <c r="BS194" s="37"/>
      <c r="BT194" s="37"/>
      <c r="BU194" s="37"/>
      <c r="BV194" s="37"/>
      <c r="BW194" s="37"/>
      <c r="BX194" s="37"/>
      <c r="BY194" s="37"/>
    </row>
    <row r="195" spans="7:77" ht="22.75" customHeight="1"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24"/>
      <c r="BP195" s="24"/>
      <c r="BQ195" s="37"/>
      <c r="BR195" s="37"/>
      <c r="BS195" s="37"/>
      <c r="BT195" s="37"/>
      <c r="BU195" s="37"/>
      <c r="BV195" s="37"/>
      <c r="BW195" s="37"/>
      <c r="BX195" s="37"/>
      <c r="BY195" s="37"/>
    </row>
    <row r="196" spans="7:77" ht="22.75" customHeight="1"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24"/>
      <c r="BP196" s="24"/>
      <c r="BQ196" s="37"/>
      <c r="BR196" s="37"/>
      <c r="BS196" s="37"/>
      <c r="BT196" s="37"/>
      <c r="BU196" s="37"/>
      <c r="BV196" s="37"/>
      <c r="BW196" s="37"/>
      <c r="BX196" s="37"/>
      <c r="BY196" s="37"/>
    </row>
    <row r="197" spans="7:77" ht="22.75" customHeight="1"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24"/>
      <c r="BP197" s="24"/>
      <c r="BQ197" s="37"/>
      <c r="BR197" s="37"/>
      <c r="BS197" s="37"/>
      <c r="BT197" s="37"/>
      <c r="BU197" s="37"/>
      <c r="BV197" s="37"/>
      <c r="BW197" s="37"/>
      <c r="BX197" s="37"/>
      <c r="BY197" s="37"/>
    </row>
    <row r="198" spans="7:77" ht="22.75" customHeight="1"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24"/>
      <c r="BP198" s="24"/>
      <c r="BQ198" s="37"/>
      <c r="BR198" s="37"/>
      <c r="BS198" s="37"/>
      <c r="BT198" s="37"/>
      <c r="BU198" s="37"/>
      <c r="BV198" s="37"/>
      <c r="BW198" s="37"/>
      <c r="BX198" s="37"/>
      <c r="BY198" s="37"/>
    </row>
    <row r="199" spans="7:77" ht="22.75" customHeight="1"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24"/>
      <c r="BP199" s="24"/>
      <c r="BQ199" s="37"/>
      <c r="BR199" s="37"/>
      <c r="BS199" s="37"/>
      <c r="BT199" s="37"/>
      <c r="BU199" s="37"/>
      <c r="BV199" s="37"/>
      <c r="BW199" s="37"/>
      <c r="BX199" s="37"/>
      <c r="BY199" s="37"/>
    </row>
    <row r="200" spans="7:77" ht="22.75" customHeight="1"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24"/>
      <c r="BP200" s="24"/>
      <c r="BQ200" s="37"/>
      <c r="BR200" s="37"/>
      <c r="BS200" s="37"/>
      <c r="BT200" s="37"/>
      <c r="BU200" s="37"/>
      <c r="BV200" s="37"/>
      <c r="BW200" s="37"/>
      <c r="BX200" s="37"/>
      <c r="BY200" s="37"/>
    </row>
    <row r="201" spans="7:77" ht="22.75" customHeight="1"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24"/>
      <c r="BP201" s="24"/>
      <c r="BQ201" s="37"/>
      <c r="BR201" s="37"/>
      <c r="BS201" s="37"/>
      <c r="BT201" s="37"/>
      <c r="BU201" s="37"/>
      <c r="BV201" s="37"/>
      <c r="BW201" s="37"/>
      <c r="BX201" s="37"/>
      <c r="BY201" s="37"/>
    </row>
    <row r="202" spans="7:77" ht="22.75" customHeight="1"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24"/>
      <c r="BP202" s="24"/>
      <c r="BQ202" s="37"/>
      <c r="BR202" s="37"/>
      <c r="BS202" s="37"/>
      <c r="BT202" s="37"/>
      <c r="BU202" s="37"/>
      <c r="BV202" s="37"/>
      <c r="BW202" s="37"/>
      <c r="BX202" s="37"/>
      <c r="BY202" s="37"/>
    </row>
    <row r="203" spans="7:77" ht="22.75" customHeight="1"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24"/>
      <c r="BP203" s="24"/>
      <c r="BQ203" s="37"/>
      <c r="BR203" s="37"/>
      <c r="BS203" s="37"/>
      <c r="BT203" s="37"/>
      <c r="BU203" s="37"/>
      <c r="BV203" s="37"/>
      <c r="BW203" s="37"/>
      <c r="BX203" s="37"/>
      <c r="BY203" s="37"/>
    </row>
    <row r="204" spans="7:77" ht="22.75" customHeight="1"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24"/>
      <c r="BP204" s="24"/>
      <c r="BQ204" s="37"/>
      <c r="BR204" s="37"/>
      <c r="BS204" s="37"/>
      <c r="BT204" s="37"/>
      <c r="BU204" s="37"/>
      <c r="BV204" s="37"/>
      <c r="BW204" s="37"/>
      <c r="BX204" s="37"/>
      <c r="BY204" s="37"/>
    </row>
    <row r="205" spans="7:77" ht="22.75" customHeight="1"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24"/>
      <c r="BP205" s="24"/>
      <c r="BQ205" s="37"/>
      <c r="BR205" s="37"/>
      <c r="BS205" s="37"/>
      <c r="BT205" s="37"/>
      <c r="BU205" s="37"/>
      <c r="BV205" s="37"/>
      <c r="BW205" s="37"/>
      <c r="BX205" s="37"/>
      <c r="BY205" s="37"/>
    </row>
    <row r="206" spans="7:77" ht="22.75" customHeight="1"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24"/>
      <c r="BP206" s="24"/>
      <c r="BQ206" s="37"/>
      <c r="BR206" s="37"/>
      <c r="BS206" s="37"/>
      <c r="BT206" s="37"/>
      <c r="BU206" s="37"/>
      <c r="BV206" s="37"/>
      <c r="BW206" s="37"/>
      <c r="BX206" s="37"/>
      <c r="BY206" s="37"/>
    </row>
    <row r="207" spans="7:77" ht="22.75" customHeight="1"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24"/>
      <c r="BP207" s="24"/>
      <c r="BQ207" s="37"/>
      <c r="BR207" s="37"/>
      <c r="BS207" s="37"/>
      <c r="BT207" s="37"/>
      <c r="BU207" s="37"/>
      <c r="BV207" s="37"/>
      <c r="BW207" s="37"/>
      <c r="BX207" s="37"/>
      <c r="BY207" s="37"/>
    </row>
    <row r="208" spans="7:77" ht="22.75" customHeight="1"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24"/>
      <c r="BP208" s="24"/>
      <c r="BQ208" s="37"/>
      <c r="BR208" s="37"/>
      <c r="BS208" s="37"/>
      <c r="BT208" s="37"/>
      <c r="BU208" s="37"/>
      <c r="BV208" s="37"/>
      <c r="BW208" s="37"/>
      <c r="BX208" s="37"/>
      <c r="BY208" s="37"/>
    </row>
    <row r="209" spans="7:77" ht="22.75" customHeight="1"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24"/>
      <c r="BP209" s="24"/>
      <c r="BQ209" s="37"/>
      <c r="BR209" s="37"/>
      <c r="BS209" s="37"/>
      <c r="BT209" s="37"/>
      <c r="BU209" s="37"/>
      <c r="BV209" s="37"/>
      <c r="BW209" s="37"/>
      <c r="BX209" s="37"/>
      <c r="BY209" s="37"/>
    </row>
    <row r="210" spans="7:77" ht="22.75" customHeight="1"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24"/>
      <c r="BP210" s="24"/>
      <c r="BQ210" s="37"/>
      <c r="BR210" s="37"/>
      <c r="BS210" s="37"/>
      <c r="BT210" s="37"/>
      <c r="BU210" s="37"/>
      <c r="BV210" s="37"/>
      <c r="BW210" s="37"/>
      <c r="BX210" s="37"/>
      <c r="BY210" s="37"/>
    </row>
    <row r="211" spans="7:77" ht="22.75" customHeight="1"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24"/>
      <c r="BP211" s="24"/>
      <c r="BQ211" s="37"/>
      <c r="BR211" s="37"/>
      <c r="BS211" s="37"/>
      <c r="BT211" s="37"/>
      <c r="BU211" s="37"/>
      <c r="BV211" s="37"/>
      <c r="BW211" s="37"/>
      <c r="BX211" s="37"/>
      <c r="BY211" s="37"/>
    </row>
    <row r="212" spans="7:77" ht="22.75" customHeight="1"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24"/>
      <c r="BP212" s="24"/>
      <c r="BQ212" s="37"/>
      <c r="BR212" s="37"/>
      <c r="BS212" s="37"/>
      <c r="BT212" s="37"/>
      <c r="BU212" s="37"/>
      <c r="BV212" s="37"/>
      <c r="BW212" s="37"/>
      <c r="BX212" s="37"/>
      <c r="BY212" s="37"/>
    </row>
    <row r="213" spans="7:77" ht="22.75" customHeight="1"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24"/>
      <c r="BP213" s="24"/>
      <c r="BQ213" s="37"/>
      <c r="BR213" s="37"/>
      <c r="BS213" s="37"/>
      <c r="BT213" s="37"/>
      <c r="BU213" s="37"/>
      <c r="BV213" s="37"/>
      <c r="BW213" s="37"/>
      <c r="BX213" s="37"/>
      <c r="BY213" s="37"/>
    </row>
    <row r="214" spans="7:77" ht="22.75" customHeight="1"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24"/>
      <c r="BP214" s="24"/>
      <c r="BQ214" s="37"/>
      <c r="BR214" s="37"/>
      <c r="BS214" s="37"/>
      <c r="BT214" s="37"/>
      <c r="BU214" s="37"/>
      <c r="BV214" s="37"/>
      <c r="BW214" s="37"/>
      <c r="BX214" s="37"/>
      <c r="BY214" s="37"/>
    </row>
    <row r="215" spans="7:77" ht="22.75" customHeight="1"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24"/>
      <c r="BP215" s="24"/>
      <c r="BQ215" s="37"/>
      <c r="BR215" s="37"/>
      <c r="BS215" s="37"/>
      <c r="BT215" s="37"/>
      <c r="BU215" s="37"/>
      <c r="BV215" s="37"/>
      <c r="BW215" s="37"/>
      <c r="BX215" s="37"/>
      <c r="BY215" s="37"/>
    </row>
    <row r="216" spans="7:77" ht="22.75" customHeight="1"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24"/>
      <c r="BP216" s="24"/>
      <c r="BQ216" s="37"/>
      <c r="BR216" s="37"/>
      <c r="BS216" s="37"/>
      <c r="BT216" s="37"/>
      <c r="BU216" s="37"/>
      <c r="BV216" s="37"/>
      <c r="BW216" s="37"/>
      <c r="BX216" s="37"/>
      <c r="BY216" s="37"/>
    </row>
    <row r="217" spans="7:77" ht="22.75" customHeight="1"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24"/>
      <c r="BP217" s="24"/>
      <c r="BQ217" s="37"/>
      <c r="BR217" s="37"/>
      <c r="BS217" s="37"/>
      <c r="BT217" s="37"/>
      <c r="BU217" s="37"/>
      <c r="BV217" s="37"/>
      <c r="BW217" s="37"/>
      <c r="BX217" s="37"/>
      <c r="BY217" s="37"/>
    </row>
    <row r="218" spans="7:77" ht="22.75" customHeight="1"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24"/>
      <c r="BP218" s="24"/>
      <c r="BQ218" s="37"/>
      <c r="BR218" s="37"/>
      <c r="BS218" s="37"/>
      <c r="BT218" s="37"/>
      <c r="BU218" s="37"/>
      <c r="BV218" s="37"/>
      <c r="BW218" s="37"/>
      <c r="BX218" s="37"/>
      <c r="BY218" s="37"/>
    </row>
    <row r="219" spans="7:77" ht="22.75" customHeight="1"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24"/>
      <c r="BP219" s="24"/>
      <c r="BQ219" s="37"/>
      <c r="BR219" s="37"/>
      <c r="BS219" s="37"/>
      <c r="BT219" s="37"/>
      <c r="BU219" s="37"/>
      <c r="BV219" s="37"/>
      <c r="BW219" s="37"/>
      <c r="BX219" s="37"/>
      <c r="BY219" s="37"/>
    </row>
    <row r="220" spans="7:77" ht="22.75" customHeight="1"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24"/>
      <c r="BP220" s="24"/>
      <c r="BQ220" s="37"/>
      <c r="BR220" s="37"/>
      <c r="BS220" s="37"/>
      <c r="BT220" s="37"/>
      <c r="BU220" s="37"/>
      <c r="BV220" s="37"/>
      <c r="BW220" s="37"/>
      <c r="BX220" s="37"/>
      <c r="BY220" s="37"/>
    </row>
    <row r="221" spans="7:77" ht="22.75" customHeight="1"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24"/>
      <c r="BP221" s="24"/>
      <c r="BQ221" s="37"/>
      <c r="BR221" s="37"/>
      <c r="BS221" s="37"/>
      <c r="BT221" s="37"/>
      <c r="BU221" s="37"/>
      <c r="BV221" s="37"/>
      <c r="BW221" s="37"/>
      <c r="BX221" s="37"/>
      <c r="BY221" s="37"/>
    </row>
    <row r="222" spans="7:77" ht="22.75" customHeight="1"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24"/>
      <c r="BP222" s="24"/>
      <c r="BQ222" s="37"/>
      <c r="BR222" s="37"/>
      <c r="BS222" s="37"/>
      <c r="BT222" s="37"/>
      <c r="BU222" s="37"/>
      <c r="BV222" s="37"/>
      <c r="BW222" s="37"/>
      <c r="BX222" s="37"/>
      <c r="BY222" s="37"/>
    </row>
    <row r="223" spans="7:77" ht="22.75" customHeight="1"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24"/>
      <c r="BP223" s="24"/>
      <c r="BQ223" s="37"/>
      <c r="BR223" s="37"/>
      <c r="BS223" s="37"/>
      <c r="BT223" s="37"/>
      <c r="BU223" s="37"/>
      <c r="BV223" s="37"/>
      <c r="BW223" s="37"/>
      <c r="BX223" s="37"/>
      <c r="BY223" s="37"/>
    </row>
    <row r="224" spans="7:77" ht="22.75" customHeight="1"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24"/>
      <c r="BP224" s="24"/>
      <c r="BQ224" s="37"/>
      <c r="BR224" s="37"/>
      <c r="BS224" s="37"/>
      <c r="BT224" s="37"/>
      <c r="BU224" s="37"/>
      <c r="BV224" s="37"/>
      <c r="BW224" s="37"/>
      <c r="BX224" s="37"/>
      <c r="BY224" s="37"/>
    </row>
    <row r="225" spans="7:77" ht="22.75" customHeight="1"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24"/>
      <c r="BP225" s="24"/>
      <c r="BQ225" s="37"/>
      <c r="BR225" s="37"/>
      <c r="BS225" s="37"/>
      <c r="BT225" s="37"/>
      <c r="BU225" s="37"/>
      <c r="BV225" s="37"/>
      <c r="BW225" s="37"/>
      <c r="BX225" s="37"/>
      <c r="BY225" s="37"/>
    </row>
    <row r="226" spans="7:77" ht="22.75" customHeight="1"/>
    <row r="227" spans="7:77" ht="22.75" customHeight="1"/>
    <row r="228" spans="7:77" ht="22.75" customHeight="1"/>
    <row r="229" spans="7:77" ht="22.75" customHeight="1"/>
    <row r="230" spans="7:77" ht="22.75" customHeight="1"/>
    <row r="231" spans="7:77" ht="22.75" customHeight="1"/>
    <row r="232" spans="7:77" ht="22.75" customHeight="1"/>
    <row r="233" spans="7:77" ht="22.75" customHeight="1"/>
    <row r="234" spans="7:77" ht="22.75" customHeight="1"/>
    <row r="235" spans="7:77" ht="22.75" customHeight="1"/>
    <row r="236" spans="7:77" ht="22.75" customHeight="1"/>
    <row r="237" spans="7:77" ht="22.75" customHeight="1"/>
    <row r="238" spans="7:77" ht="22.75" customHeight="1"/>
    <row r="239" spans="7:77" ht="22.75" customHeight="1"/>
    <row r="240" spans="7:77" ht="22.75" customHeight="1"/>
    <row r="241" ht="22.75" customHeight="1"/>
    <row r="242" ht="22.75" customHeight="1"/>
    <row r="243" ht="22.75" customHeight="1"/>
    <row r="244" ht="22.75" customHeight="1"/>
    <row r="245" ht="22.75" customHeight="1"/>
    <row r="246" ht="22.75" customHeight="1"/>
    <row r="247" ht="22.75" customHeight="1"/>
    <row r="248" ht="22.75" customHeight="1"/>
    <row r="249" ht="22.75" customHeight="1"/>
    <row r="250" ht="22.75" customHeight="1"/>
    <row r="251" ht="22.75" customHeight="1"/>
    <row r="252" ht="22.75" customHeight="1"/>
    <row r="253" ht="22.75" customHeight="1"/>
    <row r="254" ht="22.75" customHeight="1"/>
    <row r="255" ht="22.75" customHeight="1"/>
    <row r="256" ht="22.75" customHeight="1"/>
    <row r="257" ht="22.75" customHeight="1"/>
    <row r="258" ht="22.75" customHeight="1"/>
    <row r="259" ht="22.75" customHeight="1"/>
    <row r="260" ht="22.75" customHeight="1"/>
    <row r="261" ht="22.75" customHeight="1"/>
    <row r="262" ht="22.75" customHeight="1"/>
    <row r="263" ht="22.75" customHeight="1"/>
    <row r="264" ht="22.75" customHeight="1"/>
    <row r="265" ht="22.75" customHeight="1"/>
    <row r="266" ht="22.75" customHeight="1"/>
    <row r="267" ht="22.75" customHeight="1"/>
    <row r="268" ht="22.75" customHeight="1"/>
    <row r="269" ht="22.75" customHeight="1"/>
    <row r="270" ht="22.75" customHeight="1"/>
    <row r="271" ht="22.75" customHeight="1"/>
    <row r="272" ht="22.75" customHeight="1"/>
    <row r="273" ht="22.75" customHeight="1"/>
    <row r="274" ht="22.75" customHeight="1"/>
    <row r="275" ht="22.75" customHeight="1"/>
    <row r="276" ht="22.75" customHeight="1"/>
    <row r="277" ht="22.75" customHeight="1"/>
    <row r="278" ht="22.75" customHeight="1"/>
    <row r="279" ht="22.75" customHeight="1"/>
    <row r="280" ht="22.75" customHeight="1"/>
    <row r="281" ht="22.75" customHeight="1"/>
    <row r="282" ht="22.75" customHeight="1"/>
    <row r="283" ht="22.75" customHeight="1"/>
    <row r="284" ht="22.75" customHeight="1"/>
    <row r="285" ht="22.75" customHeight="1"/>
    <row r="286" ht="22.75" customHeight="1"/>
    <row r="287" ht="22.75" customHeight="1"/>
    <row r="288" ht="22.75" customHeight="1"/>
    <row r="289" ht="22.75" customHeight="1"/>
    <row r="290" ht="22.75" customHeight="1"/>
    <row r="291" ht="22.75" customHeight="1"/>
    <row r="292" ht="22.75" customHeight="1"/>
    <row r="293" ht="22.75" customHeight="1"/>
    <row r="294" ht="22.75" customHeight="1"/>
    <row r="295" ht="22.75" customHeight="1"/>
    <row r="296" ht="22.75" customHeight="1"/>
    <row r="297" ht="22.75" customHeight="1"/>
    <row r="298" ht="22.75" customHeight="1"/>
    <row r="299" ht="22.75" customHeight="1"/>
    <row r="300" ht="22.75" customHeight="1"/>
    <row r="301" ht="22.75" customHeight="1"/>
    <row r="302" ht="22.75" customHeight="1"/>
    <row r="303" ht="22.75" customHeight="1"/>
    <row r="304" ht="22.75" customHeight="1"/>
    <row r="305" ht="22.75" customHeight="1"/>
    <row r="306" ht="22.75" customHeight="1"/>
    <row r="307" ht="22.75" customHeight="1"/>
    <row r="308" ht="22.75" customHeight="1"/>
    <row r="309" ht="22.75" customHeight="1"/>
    <row r="310" ht="22.75" customHeight="1"/>
    <row r="311" ht="22.75" customHeight="1"/>
    <row r="312" ht="22.75" customHeight="1"/>
    <row r="313" ht="22.75" customHeight="1"/>
    <row r="314" ht="22.75" customHeight="1"/>
    <row r="315" ht="22.75" customHeight="1"/>
    <row r="316" ht="22.75" customHeight="1"/>
    <row r="317" ht="22.75" customHeight="1"/>
    <row r="318" ht="22.75" customHeight="1"/>
    <row r="319" ht="22.75" customHeight="1"/>
    <row r="320" ht="22.75" customHeight="1"/>
    <row r="321" ht="22.75" customHeight="1"/>
    <row r="322" ht="22.75" customHeight="1"/>
    <row r="323" ht="22.75" customHeight="1"/>
    <row r="324" ht="22.75" customHeight="1"/>
    <row r="325" ht="22.75" customHeight="1"/>
    <row r="326" ht="22.75" customHeight="1"/>
    <row r="327" ht="22.75" customHeight="1"/>
    <row r="328" ht="22.75" customHeight="1"/>
    <row r="329" ht="22.75" customHeight="1"/>
    <row r="330" ht="22.75" customHeight="1"/>
    <row r="331" ht="22.75" customHeight="1"/>
    <row r="332" ht="22.75" customHeight="1"/>
    <row r="333" ht="22.75" customHeight="1"/>
    <row r="334" ht="22.75" customHeight="1"/>
    <row r="335" ht="22.75" customHeight="1"/>
    <row r="336" ht="22.75" customHeight="1"/>
    <row r="337" ht="22.75" customHeight="1"/>
    <row r="338" ht="22.75" customHeight="1"/>
    <row r="339" ht="22.75" customHeight="1"/>
    <row r="340" ht="22.75" customHeight="1"/>
    <row r="341" ht="22.75" customHeight="1"/>
    <row r="342" ht="22.75" customHeight="1"/>
    <row r="343" ht="22.75" customHeight="1"/>
    <row r="344" ht="22.75" customHeight="1"/>
    <row r="345" ht="22.75" customHeight="1"/>
    <row r="346" ht="22.75" customHeight="1"/>
    <row r="347" ht="22.75" customHeight="1"/>
    <row r="348" ht="22.75" customHeight="1"/>
    <row r="349" ht="22.75" customHeight="1"/>
    <row r="350" ht="22.75" customHeight="1"/>
    <row r="351" ht="22.75" customHeight="1"/>
    <row r="352" ht="22.75" customHeight="1"/>
    <row r="353" ht="22.75" customHeight="1"/>
    <row r="354" ht="22.75" customHeight="1"/>
    <row r="355" ht="22.75" customHeight="1"/>
    <row r="356" ht="22.75" customHeight="1"/>
    <row r="357" ht="22.75" customHeight="1"/>
    <row r="358" ht="22.75" customHeight="1"/>
    <row r="359" ht="22.75" customHeight="1"/>
    <row r="360" ht="22.75" customHeight="1"/>
    <row r="361" ht="22.75" customHeight="1"/>
    <row r="362" ht="22.75" customHeight="1"/>
    <row r="363" ht="22.75" customHeight="1"/>
    <row r="364" ht="22.75" customHeight="1"/>
    <row r="365" ht="22.75" customHeight="1"/>
    <row r="366" ht="22.75" customHeight="1"/>
    <row r="367" ht="22.75" customHeight="1"/>
    <row r="368" ht="22.75" customHeight="1"/>
    <row r="369" ht="22.75" customHeight="1"/>
    <row r="370" ht="22.75" customHeight="1"/>
    <row r="371" ht="22.75" customHeight="1"/>
    <row r="372" ht="22.75" customHeight="1"/>
    <row r="373" ht="22.75" customHeight="1"/>
    <row r="374" ht="22.75" customHeight="1"/>
    <row r="375" ht="22.75" customHeight="1"/>
    <row r="376" ht="22.75" customHeight="1"/>
    <row r="377" ht="22.75" customHeight="1"/>
    <row r="378" ht="22.75" customHeight="1"/>
    <row r="379" ht="22.75" customHeight="1"/>
    <row r="380" ht="22.75" customHeight="1"/>
    <row r="381" ht="22.75" customHeight="1"/>
    <row r="382" ht="22.75" customHeight="1"/>
    <row r="383" ht="22.75" customHeight="1"/>
    <row r="384" ht="22.75" customHeight="1"/>
    <row r="385" ht="22.75" customHeight="1"/>
    <row r="386" ht="22.75" customHeight="1"/>
    <row r="387" ht="22.75" customHeight="1"/>
    <row r="388" ht="22.75" customHeight="1"/>
    <row r="389" ht="22.75" customHeight="1"/>
    <row r="390" ht="22.75" customHeight="1"/>
    <row r="391" ht="22.75" customHeight="1"/>
    <row r="392" ht="22.75" customHeight="1"/>
    <row r="393" ht="22.75" customHeight="1"/>
    <row r="394" ht="22.75" customHeight="1"/>
    <row r="395" ht="22.75" customHeight="1"/>
    <row r="396" ht="22.75" customHeight="1"/>
    <row r="397" ht="22.75" customHeight="1"/>
    <row r="398" ht="22.75" customHeight="1"/>
    <row r="399" ht="22.75" customHeight="1"/>
    <row r="400" ht="22.75" customHeight="1"/>
    <row r="401" ht="22.75" customHeight="1"/>
    <row r="402" ht="22.75" customHeight="1"/>
    <row r="403" ht="22.75" customHeight="1"/>
    <row r="404" ht="22.75" customHeight="1"/>
    <row r="405" ht="22.75" customHeight="1"/>
    <row r="406" ht="22.75" customHeight="1"/>
    <row r="407" ht="22.75" customHeight="1"/>
    <row r="408" ht="22.75" customHeight="1"/>
    <row r="409" ht="22.75" customHeight="1"/>
    <row r="410" ht="22.75" customHeight="1"/>
    <row r="411" ht="22.75" customHeight="1"/>
    <row r="412" ht="22.75" customHeight="1"/>
    <row r="413" ht="22.75" customHeight="1"/>
    <row r="414" ht="22.75" customHeight="1"/>
    <row r="415" ht="22.75" customHeight="1"/>
    <row r="416" ht="22.75" customHeight="1"/>
    <row r="417" ht="22.75" customHeight="1"/>
    <row r="418" ht="22.75" customHeight="1"/>
    <row r="419" ht="22.75" customHeight="1"/>
    <row r="420" ht="22.75" customHeight="1"/>
    <row r="421" ht="22.75" customHeight="1"/>
    <row r="422" ht="22.75" customHeight="1"/>
    <row r="423" ht="22.75" customHeight="1"/>
    <row r="424" ht="22.75" customHeight="1"/>
    <row r="425" ht="22.75" customHeight="1"/>
    <row r="426" ht="22.75" customHeight="1"/>
    <row r="427" ht="22.75" customHeight="1"/>
    <row r="428" ht="22.75" customHeight="1"/>
    <row r="429" ht="22.75" customHeight="1"/>
    <row r="430" ht="22.75" customHeight="1"/>
    <row r="431" ht="22.75" customHeight="1"/>
    <row r="432" ht="22.75" customHeight="1"/>
    <row r="433" ht="22.75" customHeight="1"/>
    <row r="434" ht="22.75" customHeight="1"/>
    <row r="435" ht="22.75" customHeight="1"/>
    <row r="436" ht="22.75" customHeight="1"/>
    <row r="437" ht="22.75" customHeight="1"/>
    <row r="438" ht="22.75" customHeight="1"/>
    <row r="439" ht="22.75" customHeight="1"/>
    <row r="440" ht="22.75" customHeight="1"/>
    <row r="441" ht="22.75" customHeight="1"/>
    <row r="442" ht="22.75" customHeight="1"/>
    <row r="443" ht="22.75" customHeight="1"/>
    <row r="444" ht="22.75" customHeight="1"/>
    <row r="445" ht="22.75" customHeight="1"/>
    <row r="446" ht="22.75" customHeight="1"/>
    <row r="447" ht="22.75" customHeight="1"/>
    <row r="448" ht="22.75" customHeight="1"/>
    <row r="449" ht="22.75" customHeight="1"/>
    <row r="450" ht="22.75" customHeight="1"/>
    <row r="451" ht="22.75" customHeight="1"/>
    <row r="452" ht="22.75" customHeight="1"/>
    <row r="453" ht="22.75" customHeight="1"/>
    <row r="454" ht="22.75" customHeight="1"/>
    <row r="455" ht="22.75" customHeight="1"/>
    <row r="456" ht="22.75" customHeight="1"/>
    <row r="457" ht="22.75" customHeight="1"/>
    <row r="458" ht="22.75" customHeight="1"/>
    <row r="459" ht="22.75" customHeight="1"/>
    <row r="460" ht="22.75" customHeight="1"/>
    <row r="461" ht="22.75" customHeight="1"/>
    <row r="462" ht="22.75" customHeight="1"/>
    <row r="463" ht="22.75" customHeight="1"/>
    <row r="464" ht="22.75" customHeight="1"/>
    <row r="465" ht="22.75" customHeight="1"/>
    <row r="466" ht="22.75" customHeight="1"/>
    <row r="467" ht="22.75" customHeight="1"/>
    <row r="468" ht="22.75" customHeight="1"/>
    <row r="469" ht="22.75" customHeight="1"/>
    <row r="470" ht="22.75" customHeight="1"/>
    <row r="471" ht="22.75" customHeight="1"/>
    <row r="472" ht="22.75" customHeight="1"/>
    <row r="473" ht="22.75" customHeight="1"/>
    <row r="474" ht="22.75" customHeight="1"/>
    <row r="475" ht="22.75" customHeight="1"/>
    <row r="476" ht="22.75" customHeight="1"/>
    <row r="477" ht="22.75" customHeight="1"/>
    <row r="478" ht="22.75" customHeight="1"/>
    <row r="479" ht="22.75" customHeight="1"/>
    <row r="480" ht="22.75" customHeight="1"/>
    <row r="481" ht="22.75" customHeight="1"/>
    <row r="482" ht="22.75" customHeight="1"/>
    <row r="483" ht="22.75" customHeight="1"/>
    <row r="484" ht="22.75" customHeight="1"/>
    <row r="485" ht="22.75" customHeight="1"/>
    <row r="486" ht="22.75" customHeight="1"/>
    <row r="487" ht="22.75" customHeight="1"/>
    <row r="488" ht="22.75" customHeight="1"/>
    <row r="489" ht="22.75" customHeight="1"/>
    <row r="490" ht="22.75" customHeight="1"/>
    <row r="491" ht="22.75" customHeight="1"/>
    <row r="492" ht="22.75" customHeight="1"/>
    <row r="493" ht="22.75" customHeight="1"/>
    <row r="494" ht="22.75" customHeight="1"/>
    <row r="495" ht="22.75" customHeight="1"/>
    <row r="496" ht="22.75" customHeight="1"/>
    <row r="497" ht="22.75" customHeight="1"/>
    <row r="498" ht="22.75" customHeight="1"/>
    <row r="499" ht="22.75" customHeight="1"/>
    <row r="500" ht="22.75" customHeight="1"/>
    <row r="501" ht="22.75" customHeight="1"/>
    <row r="502" ht="22.75" customHeight="1"/>
    <row r="503" ht="22.75" customHeight="1"/>
    <row r="504" ht="22.75" customHeight="1"/>
    <row r="505" ht="22.75" customHeight="1"/>
    <row r="506" ht="22.75" customHeight="1"/>
    <row r="507" ht="22.75" customHeight="1"/>
    <row r="508" ht="22.75" customHeight="1"/>
    <row r="509" ht="22.75" customHeight="1"/>
    <row r="510" ht="22.75" customHeight="1"/>
    <row r="511" ht="22.75" customHeight="1"/>
    <row r="512" ht="22.75" customHeight="1"/>
    <row r="513" ht="22.75" customHeight="1"/>
    <row r="514" ht="22.75" customHeight="1"/>
    <row r="515" ht="22.75" customHeight="1"/>
    <row r="516" ht="22.75" customHeight="1"/>
    <row r="517" ht="22.75" customHeight="1"/>
    <row r="518" ht="22.75" customHeight="1"/>
    <row r="519" ht="22.75" customHeight="1"/>
    <row r="520" ht="22.75" customHeight="1"/>
    <row r="521" ht="22.75" customHeight="1"/>
    <row r="522" ht="22.75" customHeight="1"/>
    <row r="523" ht="22.75" customHeight="1"/>
    <row r="524" ht="22.75" customHeight="1"/>
    <row r="525" ht="22.75" customHeight="1"/>
    <row r="526" ht="22.75" customHeight="1"/>
    <row r="527" ht="22.75" customHeight="1"/>
    <row r="528" ht="22.75" customHeight="1"/>
    <row r="529" ht="22.75" customHeight="1"/>
    <row r="530" ht="22.75" customHeight="1"/>
    <row r="531" ht="22.75" customHeight="1"/>
    <row r="532" ht="22.75" customHeight="1"/>
    <row r="533" ht="22.75" customHeight="1"/>
    <row r="534" ht="22.75" customHeight="1"/>
    <row r="535" ht="22.75" customHeight="1"/>
    <row r="536" ht="22.75" customHeight="1"/>
    <row r="537" ht="22.75" customHeight="1"/>
    <row r="538" ht="22.75" customHeight="1"/>
    <row r="539" ht="22.75" customHeight="1"/>
    <row r="540" ht="22.75" customHeight="1"/>
    <row r="541" ht="22.75" customHeight="1"/>
    <row r="542" ht="22.75" customHeight="1"/>
    <row r="543" ht="22.75" customHeight="1"/>
    <row r="544" ht="22.75" customHeight="1"/>
    <row r="545" ht="22.75" customHeight="1"/>
    <row r="546" ht="22.75" customHeight="1"/>
    <row r="547" ht="22.75" customHeight="1"/>
    <row r="548" ht="22.75" customHeight="1"/>
    <row r="549" ht="22.75" customHeight="1"/>
    <row r="550" ht="22.75" customHeight="1"/>
    <row r="551" ht="22.75" customHeight="1"/>
    <row r="552" ht="22.75" customHeight="1"/>
    <row r="553" ht="22.75" customHeight="1"/>
    <row r="554" ht="22.75" customHeight="1"/>
    <row r="555" ht="22.75" customHeight="1"/>
    <row r="556" ht="22.75" customHeight="1"/>
    <row r="557" ht="22.75" customHeight="1"/>
    <row r="558" ht="22.75" customHeight="1"/>
    <row r="559" ht="22.75" customHeight="1"/>
    <row r="560" ht="22.75" customHeight="1"/>
    <row r="561" ht="22.75" customHeight="1"/>
    <row r="562" ht="22.75" customHeight="1"/>
    <row r="563" ht="22.75" customHeight="1"/>
    <row r="564" ht="22.75" customHeight="1"/>
    <row r="565" ht="22.75" customHeight="1"/>
    <row r="566" ht="22.75" customHeight="1"/>
    <row r="567" ht="22.75" customHeight="1"/>
    <row r="568" ht="22.75" customHeight="1"/>
    <row r="569" ht="22.75" customHeight="1"/>
    <row r="570" ht="22.75" customHeight="1"/>
    <row r="571" ht="22.75" customHeight="1"/>
    <row r="572" ht="22.75" customHeight="1"/>
    <row r="573" ht="22.75" customHeight="1"/>
    <row r="574" ht="22.75" customHeight="1"/>
    <row r="575" ht="22.75" customHeight="1"/>
    <row r="576" ht="22.75" customHeight="1"/>
    <row r="577" ht="22.75" customHeight="1"/>
    <row r="578" ht="22.75" customHeight="1"/>
    <row r="579" ht="22.75" customHeight="1"/>
    <row r="580" ht="22.75" customHeight="1"/>
    <row r="581" ht="22.75" customHeight="1"/>
    <row r="582" ht="22.75" customHeight="1"/>
    <row r="583" ht="22.75" customHeight="1"/>
    <row r="584" ht="22.75" customHeight="1"/>
    <row r="585" ht="22.75" customHeight="1"/>
    <row r="586" ht="22.75" customHeight="1"/>
    <row r="587" ht="22.75" customHeight="1"/>
    <row r="588" ht="22.75" customHeight="1"/>
    <row r="589" ht="22.75" customHeight="1"/>
    <row r="590" ht="22.75" customHeight="1"/>
    <row r="591" ht="22.75" customHeight="1"/>
    <row r="592" ht="22.75" customHeight="1"/>
    <row r="593" ht="22.75" customHeight="1"/>
    <row r="594" ht="22.75" customHeight="1"/>
    <row r="595" ht="22.75" customHeight="1"/>
    <row r="596" ht="22.75" customHeight="1"/>
    <row r="597" ht="22.75" customHeight="1"/>
    <row r="598" ht="22.75" customHeight="1"/>
    <row r="599" ht="22.75" customHeight="1"/>
    <row r="600" ht="22.75" customHeight="1"/>
    <row r="601" ht="22.75" customHeight="1"/>
    <row r="602" ht="22.75" customHeight="1"/>
    <row r="603" ht="22.75" customHeight="1"/>
    <row r="604" ht="22.75" customHeight="1"/>
    <row r="605" ht="22.75" customHeight="1"/>
    <row r="606" ht="22.75" customHeight="1"/>
    <row r="607" ht="22.75" customHeight="1"/>
    <row r="608" ht="22.75" customHeight="1"/>
    <row r="609" ht="22.75" customHeight="1"/>
    <row r="610" ht="22.75" customHeight="1"/>
    <row r="611" ht="22.75" customHeight="1"/>
    <row r="612" ht="22.75" customHeight="1"/>
    <row r="613" ht="22.75" customHeight="1"/>
    <row r="614" ht="22.75" customHeight="1"/>
    <row r="615" ht="22.75" customHeight="1"/>
    <row r="616" ht="22.75" customHeight="1"/>
    <row r="617" ht="22.75" customHeight="1"/>
    <row r="618" ht="22.75" customHeight="1"/>
    <row r="619" ht="22.75" customHeight="1"/>
    <row r="620" ht="22.75" customHeight="1"/>
    <row r="621" ht="22.75" customHeight="1"/>
    <row r="622" ht="22.75" customHeight="1"/>
    <row r="623" ht="22.75" customHeight="1"/>
    <row r="624" ht="22.75" customHeight="1"/>
    <row r="625" ht="22.75" customHeight="1"/>
    <row r="626" ht="22.75" customHeight="1"/>
    <row r="627" ht="22.75" customHeight="1"/>
    <row r="628" ht="22.75" customHeight="1"/>
    <row r="629" ht="22.75" customHeight="1"/>
    <row r="630" ht="22.75" customHeight="1"/>
    <row r="631" ht="22.75" customHeight="1"/>
    <row r="632" ht="22.75" customHeight="1"/>
    <row r="633" ht="22.75" customHeight="1"/>
    <row r="634" ht="22.75" customHeight="1"/>
    <row r="635" ht="22.75" customHeight="1"/>
    <row r="636" ht="22.75" customHeight="1"/>
    <row r="637" ht="22.75" customHeight="1"/>
    <row r="638" ht="22.75" customHeight="1"/>
    <row r="639" ht="22.75" customHeight="1"/>
    <row r="640" ht="22.75" customHeight="1"/>
    <row r="641" ht="22.75" customHeight="1"/>
    <row r="642" ht="22.75" customHeight="1"/>
    <row r="643" ht="22.75" customHeight="1"/>
    <row r="644" ht="22.75" customHeight="1"/>
    <row r="645" ht="22.75" customHeight="1"/>
    <row r="646" ht="22.75" customHeight="1"/>
    <row r="647" ht="22.75" customHeight="1"/>
    <row r="648" ht="22.75" customHeight="1"/>
    <row r="649" ht="22.75" customHeight="1"/>
    <row r="650" ht="22.75" customHeight="1"/>
    <row r="651" ht="22.75" customHeight="1"/>
    <row r="652" ht="22.75" customHeight="1"/>
    <row r="653" ht="22.75" customHeight="1"/>
    <row r="654" ht="22.75" customHeight="1"/>
    <row r="655" ht="22.75" customHeight="1"/>
    <row r="656" ht="22.75" customHeight="1"/>
    <row r="657" ht="22.75" customHeight="1"/>
    <row r="658" ht="22.75" customHeight="1"/>
    <row r="659" ht="22.75" customHeight="1"/>
    <row r="660" ht="22.75" customHeight="1"/>
    <row r="661" ht="22.75" customHeight="1"/>
    <row r="662" ht="22.75" customHeight="1"/>
    <row r="663" ht="22.75" customHeight="1"/>
    <row r="664" ht="22.75" customHeight="1"/>
    <row r="665" ht="22.75" customHeight="1"/>
    <row r="666" ht="22.75" customHeight="1"/>
    <row r="667" ht="22.75" customHeight="1"/>
    <row r="668" ht="22.75" customHeight="1"/>
    <row r="669" ht="22.75" customHeight="1"/>
    <row r="670" ht="22.75" customHeight="1"/>
    <row r="671" ht="22.75" customHeight="1"/>
    <row r="672" ht="22.75" customHeight="1"/>
    <row r="673" ht="22.75" customHeight="1"/>
    <row r="674" ht="22.75" customHeight="1"/>
    <row r="675" ht="22.75" customHeight="1"/>
    <row r="676" ht="22.75" customHeight="1"/>
    <row r="677" ht="22.75" customHeight="1"/>
    <row r="678" ht="22.75" customHeight="1"/>
    <row r="679" ht="22.75" customHeight="1"/>
    <row r="680" ht="22.75" customHeight="1"/>
    <row r="681" ht="22.75" customHeight="1"/>
    <row r="682" ht="22.75" customHeight="1"/>
    <row r="683" ht="22.75" customHeight="1"/>
    <row r="684" ht="22.75" customHeight="1"/>
    <row r="685" ht="22.75" customHeight="1"/>
    <row r="686" ht="22.75" customHeight="1"/>
    <row r="687" ht="22.75" customHeight="1"/>
    <row r="688" ht="22.75" customHeight="1"/>
    <row r="689" ht="22.75" customHeight="1"/>
    <row r="690" ht="22.75" customHeight="1"/>
    <row r="691" ht="22.75" customHeight="1"/>
    <row r="692" ht="22.75" customHeight="1"/>
    <row r="693" ht="22.75" customHeight="1"/>
    <row r="694" ht="22.75" customHeight="1"/>
    <row r="695" ht="22.75" customHeight="1"/>
    <row r="696" ht="22.75" customHeight="1"/>
    <row r="697" ht="22.75" customHeight="1"/>
    <row r="698" ht="22.75" customHeight="1"/>
    <row r="699" ht="22.75" customHeight="1"/>
    <row r="700" ht="22.75" customHeight="1"/>
    <row r="701" ht="22.75" customHeight="1"/>
    <row r="702" ht="22.75" customHeight="1"/>
    <row r="703" ht="22.75" customHeight="1"/>
    <row r="704" ht="22.75" customHeight="1"/>
    <row r="705" ht="22.75" customHeight="1"/>
    <row r="706" ht="22.75" customHeight="1"/>
    <row r="707" ht="22.75" customHeight="1"/>
    <row r="708" ht="22.75" customHeight="1"/>
    <row r="709" ht="22.75" customHeight="1"/>
    <row r="710" ht="22.75" customHeight="1"/>
    <row r="711" ht="22.75" customHeight="1"/>
    <row r="712" ht="22.75" customHeight="1"/>
    <row r="713" ht="22.75" customHeight="1"/>
    <row r="714" ht="22.75" customHeight="1"/>
    <row r="715" ht="22.75" customHeight="1"/>
    <row r="716" ht="22.75" customHeight="1"/>
    <row r="717" ht="22.75" customHeight="1"/>
    <row r="718" ht="22.75" customHeight="1"/>
    <row r="719" ht="22.75" customHeight="1"/>
    <row r="720" ht="22.75" customHeight="1"/>
    <row r="721" ht="22.75" customHeight="1"/>
    <row r="722" ht="22.75" customHeight="1"/>
    <row r="723" ht="22.75" customHeight="1"/>
    <row r="724" ht="22.75" customHeight="1"/>
    <row r="725" ht="22.75" customHeight="1"/>
    <row r="726" ht="22.75" customHeight="1"/>
    <row r="727" ht="22.75" customHeight="1"/>
    <row r="728" ht="22.75" customHeight="1"/>
    <row r="729" ht="22.75" customHeight="1"/>
    <row r="730" ht="22.75" customHeight="1"/>
    <row r="731" ht="22.75" customHeight="1"/>
    <row r="732" ht="22.75" customHeight="1"/>
    <row r="733" ht="22.75" customHeight="1"/>
    <row r="734" ht="22.75" customHeight="1"/>
    <row r="735" ht="22.75" customHeight="1"/>
    <row r="736" ht="22.75" customHeight="1"/>
    <row r="737" ht="22.75" customHeight="1"/>
    <row r="738" ht="22.75" customHeight="1"/>
    <row r="739" ht="22.75" customHeight="1"/>
    <row r="740" ht="22.75" customHeight="1"/>
    <row r="741" ht="22.75" customHeight="1"/>
    <row r="742" ht="22.75" customHeight="1"/>
    <row r="743" ht="22.75" customHeight="1"/>
    <row r="744" ht="22.75" customHeight="1"/>
    <row r="745" ht="22.75" customHeight="1"/>
    <row r="746" ht="22.75" customHeight="1"/>
    <row r="747" ht="22.75" customHeight="1"/>
    <row r="748" ht="22.75" customHeight="1"/>
    <row r="749" ht="22.75" customHeight="1"/>
    <row r="750" ht="22.75" customHeight="1"/>
    <row r="751" ht="22.75" customHeight="1"/>
    <row r="752" ht="22.75" customHeight="1"/>
    <row r="753" ht="22.75" customHeight="1"/>
    <row r="754" ht="22.75" customHeight="1"/>
    <row r="755" ht="22.75" customHeight="1"/>
    <row r="756" ht="22.75" customHeight="1"/>
    <row r="757" ht="22.75" customHeight="1"/>
    <row r="758" ht="22.75" customHeight="1"/>
    <row r="759" ht="22.75" customHeight="1"/>
    <row r="760" ht="22.75" customHeight="1"/>
    <row r="761" ht="22.75" customHeight="1"/>
    <row r="762" ht="22.75" customHeight="1"/>
    <row r="763" ht="22.75" customHeight="1"/>
    <row r="764" ht="22.75" customHeight="1"/>
    <row r="765" ht="22.75" customHeight="1"/>
    <row r="766" ht="22.75" customHeight="1"/>
    <row r="767" ht="22.75" customHeight="1"/>
    <row r="768" ht="22.75" customHeight="1"/>
    <row r="769" ht="22.75" customHeight="1"/>
    <row r="770" ht="22.75" customHeight="1"/>
    <row r="771" ht="22.75" customHeight="1"/>
    <row r="772" ht="22.75" customHeight="1"/>
    <row r="773" ht="22.75" customHeight="1"/>
    <row r="774" ht="22.75" customHeight="1"/>
    <row r="775" ht="22.75" customHeight="1"/>
    <row r="776" ht="22.75" customHeight="1"/>
    <row r="777" ht="22.75" customHeight="1"/>
    <row r="778" ht="22.75" customHeight="1"/>
    <row r="779" ht="22.75" customHeight="1"/>
    <row r="780" ht="22.75" customHeight="1"/>
    <row r="781" ht="22.75" customHeight="1"/>
    <row r="782" ht="22.75" customHeight="1"/>
    <row r="783" ht="22.75" customHeight="1"/>
    <row r="784" ht="22.75" customHeight="1"/>
    <row r="785" ht="22.75" customHeight="1"/>
    <row r="786" ht="22.75" customHeight="1"/>
    <row r="787" ht="22.75" customHeight="1"/>
    <row r="788" ht="22.75" customHeight="1"/>
    <row r="789" ht="22.75" customHeight="1"/>
    <row r="790" ht="22.75" customHeight="1"/>
    <row r="791" ht="22.75" customHeight="1"/>
    <row r="792" ht="22.75" customHeight="1"/>
    <row r="793" ht="22.75" customHeight="1"/>
    <row r="794" ht="22.75" customHeight="1"/>
    <row r="795" ht="22.75" customHeight="1"/>
    <row r="796" ht="22.75" customHeight="1"/>
    <row r="797" ht="22.75" customHeight="1"/>
    <row r="798" ht="22.75" customHeight="1"/>
    <row r="799" ht="22.75" customHeight="1"/>
    <row r="800" ht="22.75" customHeight="1"/>
    <row r="801" ht="22.75" customHeight="1"/>
    <row r="802" ht="22.75" customHeight="1"/>
    <row r="803" ht="22.75" customHeight="1"/>
    <row r="804" ht="22.75" customHeight="1"/>
    <row r="805" ht="22.75" customHeight="1"/>
    <row r="806" ht="22.75" customHeight="1"/>
    <row r="807" ht="22.75" customHeight="1"/>
    <row r="808" ht="22.75" customHeight="1"/>
    <row r="809" ht="22.75" customHeight="1"/>
    <row r="810" ht="22.75" customHeight="1"/>
    <row r="811" ht="22.75" customHeight="1"/>
    <row r="812" ht="22.75" customHeight="1"/>
    <row r="813" ht="22.75" customHeight="1"/>
    <row r="814" ht="22.75" customHeight="1"/>
    <row r="815" ht="22.75" customHeight="1"/>
    <row r="816" ht="22.75" customHeight="1"/>
    <row r="817" ht="22.75" customHeight="1"/>
    <row r="818" ht="22.75" customHeight="1"/>
    <row r="819" ht="22.75" customHeight="1"/>
    <row r="820" ht="22.75" customHeight="1"/>
    <row r="821" ht="22.75" customHeight="1"/>
    <row r="822" ht="22.75" customHeight="1"/>
    <row r="823" ht="22.75" customHeight="1"/>
    <row r="824" ht="22.75" customHeight="1"/>
    <row r="825" ht="22.75" customHeight="1"/>
    <row r="826" ht="22.75" customHeight="1"/>
    <row r="827" ht="22.75" customHeight="1"/>
    <row r="828" ht="22.75" customHeight="1"/>
    <row r="829" ht="22.75" customHeight="1"/>
    <row r="830" ht="22.75" customHeight="1"/>
    <row r="831" ht="22.75" customHeight="1"/>
    <row r="832" ht="22.75" customHeight="1"/>
    <row r="833" ht="22.75" customHeight="1"/>
    <row r="834" ht="22.75" customHeight="1"/>
    <row r="835" ht="22.75" customHeight="1"/>
    <row r="836" ht="22.75" customHeight="1"/>
    <row r="837" ht="22.75" customHeight="1"/>
    <row r="838" ht="22.75" customHeight="1"/>
    <row r="839" ht="22.75" customHeight="1"/>
    <row r="840" ht="22.75" customHeight="1"/>
    <row r="841" ht="22.75" customHeight="1"/>
    <row r="842" ht="22.75" customHeight="1"/>
    <row r="843" ht="22.75" customHeight="1"/>
    <row r="844" ht="22.75" customHeight="1"/>
    <row r="845" ht="22.75" customHeight="1"/>
    <row r="846" ht="22.75" customHeight="1"/>
    <row r="847" ht="22.75" customHeight="1"/>
    <row r="848" ht="22.75" customHeight="1"/>
    <row r="849" ht="22.75" customHeight="1"/>
    <row r="850" ht="22.75" customHeight="1"/>
    <row r="851" ht="22.75" customHeight="1"/>
    <row r="852" ht="22.75" customHeight="1"/>
    <row r="853" ht="22.75" customHeight="1"/>
    <row r="854" ht="22.75" customHeight="1"/>
    <row r="855" ht="22.75" customHeight="1"/>
    <row r="856" ht="22.75" customHeight="1"/>
    <row r="857" ht="22.75" customHeight="1"/>
    <row r="858" ht="22.75" customHeight="1"/>
    <row r="859" ht="22.75" customHeight="1"/>
    <row r="860" ht="22.75" customHeight="1"/>
    <row r="861" ht="22.75" customHeight="1"/>
    <row r="862" ht="22.75" customHeight="1"/>
    <row r="863" ht="22.75" customHeight="1"/>
    <row r="864" ht="22.75" customHeight="1"/>
    <row r="865" ht="22.75" customHeight="1"/>
    <row r="866" ht="22.75" customHeight="1"/>
    <row r="867" ht="22.75" customHeight="1"/>
    <row r="868" ht="22.75" customHeight="1"/>
    <row r="869" ht="22.75" customHeight="1"/>
    <row r="870" ht="22.75" customHeight="1"/>
    <row r="871" ht="22.75" customHeight="1"/>
    <row r="872" ht="22.75" customHeight="1"/>
    <row r="873" ht="22.75" customHeight="1"/>
    <row r="874" ht="22.75" customHeight="1"/>
    <row r="875" ht="22.75" customHeight="1"/>
    <row r="876" ht="22.75" customHeight="1"/>
    <row r="877" ht="22.75" customHeight="1"/>
    <row r="878" ht="22.75" customHeight="1"/>
    <row r="879" ht="22.75" customHeight="1"/>
    <row r="880" ht="22.75" customHeight="1"/>
    <row r="881" ht="22.75" customHeight="1"/>
    <row r="882" ht="22.75" customHeight="1"/>
    <row r="883" ht="22.75" customHeight="1"/>
    <row r="884" ht="22.75" customHeight="1"/>
    <row r="885" ht="22.75" customHeight="1"/>
    <row r="886" ht="22.75" customHeight="1"/>
    <row r="887" ht="22.75" customHeight="1"/>
    <row r="888" ht="22.75" customHeight="1"/>
    <row r="889" ht="22.75" customHeight="1"/>
    <row r="890" ht="22.75" customHeight="1"/>
    <row r="891" ht="22.75" customHeight="1"/>
    <row r="892" ht="22.75" customHeight="1"/>
    <row r="893" ht="22.75" customHeight="1"/>
    <row r="894" ht="22.75" customHeight="1"/>
    <row r="895" ht="22.75" customHeight="1"/>
    <row r="896" ht="22.75" customHeight="1"/>
    <row r="897" ht="22.75" customHeight="1"/>
    <row r="898" ht="22.75" customHeight="1"/>
    <row r="899" ht="22.75" customHeight="1"/>
    <row r="900" ht="22.75" customHeight="1"/>
    <row r="901" ht="22.75" customHeight="1"/>
    <row r="902" ht="22.75" customHeight="1"/>
    <row r="903" ht="22.75" customHeight="1"/>
    <row r="904" ht="22.75" customHeight="1"/>
    <row r="905" ht="22.75" customHeight="1"/>
    <row r="906" ht="22.75" customHeight="1"/>
    <row r="907" ht="22.75" customHeight="1"/>
    <row r="908" ht="22.75" customHeight="1"/>
    <row r="909" ht="22.75" customHeight="1"/>
    <row r="910" ht="22.75" customHeight="1"/>
    <row r="911" ht="22.75" customHeight="1"/>
    <row r="912" ht="22.75" customHeight="1"/>
    <row r="913" ht="22.75" customHeight="1"/>
    <row r="914" ht="22.75" customHeight="1"/>
    <row r="915" ht="22.75" customHeight="1"/>
    <row r="916" ht="22.75" customHeight="1"/>
    <row r="917" ht="22.75" customHeight="1"/>
    <row r="918" ht="22.75" customHeight="1"/>
    <row r="919" ht="22.75" customHeight="1"/>
    <row r="920" ht="22.75" customHeight="1"/>
    <row r="921" ht="22.75" customHeight="1"/>
    <row r="922" ht="22.75" customHeight="1"/>
    <row r="923" ht="22.75" customHeight="1"/>
    <row r="924" ht="22.75" customHeight="1"/>
    <row r="925" ht="22.75" customHeight="1"/>
    <row r="926" ht="22.75" customHeight="1"/>
    <row r="927" ht="22.75" customHeight="1"/>
    <row r="928" ht="22.75" customHeight="1"/>
    <row r="929" ht="22.75" customHeight="1"/>
    <row r="930" ht="22.75" customHeight="1"/>
    <row r="931" ht="22.75" customHeight="1"/>
    <row r="932" ht="22.75" customHeight="1"/>
    <row r="933" ht="22.75" customHeight="1"/>
    <row r="934" ht="22.75" customHeight="1"/>
    <row r="935" ht="22.75" customHeight="1"/>
    <row r="936" ht="22.75" customHeight="1"/>
    <row r="937" ht="22.75" customHeight="1"/>
    <row r="938" ht="22.75" customHeight="1"/>
    <row r="939" ht="22.75" customHeight="1"/>
    <row r="940" ht="22.75" customHeight="1"/>
    <row r="941" ht="22.75" customHeight="1"/>
    <row r="942" ht="22.75" customHeight="1"/>
    <row r="943" ht="22.75" customHeight="1"/>
    <row r="944" ht="22.75" customHeight="1"/>
    <row r="945" ht="22.75" customHeight="1"/>
    <row r="946" ht="22.75" customHeight="1"/>
    <row r="947" ht="22.75" customHeight="1"/>
    <row r="948" ht="22.75" customHeight="1"/>
    <row r="949" ht="22.75" customHeight="1"/>
    <row r="950" ht="22.75" customHeight="1"/>
    <row r="951" ht="22.75" customHeight="1"/>
    <row r="952" ht="22.75" customHeight="1"/>
    <row r="953" ht="22.75" customHeight="1"/>
    <row r="954" ht="22.75" customHeight="1"/>
    <row r="955" ht="22.75" customHeight="1"/>
    <row r="956" ht="22.75" customHeight="1"/>
    <row r="957" ht="22.75" customHeight="1"/>
    <row r="958" ht="22.75" customHeight="1"/>
    <row r="959" ht="22.75" customHeight="1"/>
    <row r="960" ht="22.75" customHeight="1"/>
    <row r="961" ht="22.75" customHeight="1"/>
    <row r="962" ht="22.75" customHeight="1"/>
    <row r="963" ht="22.75" customHeight="1"/>
    <row r="964" ht="22.75" customHeight="1"/>
    <row r="965" ht="22.75" customHeight="1"/>
    <row r="966" ht="22.75" customHeight="1"/>
    <row r="967" ht="22.75" customHeight="1"/>
    <row r="968" ht="22.75" customHeight="1"/>
    <row r="969" ht="22.75" customHeight="1"/>
    <row r="970" ht="22.75" customHeight="1"/>
    <row r="971" ht="22.75" customHeight="1"/>
    <row r="972" ht="22.75" customHeight="1"/>
  </sheetData>
  <mergeCells count="42">
    <mergeCell ref="A3:BY3"/>
    <mergeCell ref="K4:L4"/>
    <mergeCell ref="M4:N4"/>
    <mergeCell ref="S4:T4"/>
    <mergeCell ref="AE4:AF4"/>
    <mergeCell ref="U4:V4"/>
    <mergeCell ref="A4:A6"/>
    <mergeCell ref="B4:B6"/>
    <mergeCell ref="BG4:BH4"/>
    <mergeCell ref="O4:P4"/>
    <mergeCell ref="AA4:AB4"/>
    <mergeCell ref="Q4:R4"/>
    <mergeCell ref="AC4:AD4"/>
    <mergeCell ref="F4:F6"/>
    <mergeCell ref="AI4:AJ4"/>
    <mergeCell ref="E4:E6"/>
    <mergeCell ref="AM4:AN4"/>
    <mergeCell ref="AO4:AP4"/>
    <mergeCell ref="C4:C6"/>
    <mergeCell ref="AQ4:AR4"/>
    <mergeCell ref="G4:H4"/>
    <mergeCell ref="BA4:BB4"/>
    <mergeCell ref="BU4:BX4"/>
    <mergeCell ref="AS4:AT4"/>
    <mergeCell ref="AU4:AV4"/>
    <mergeCell ref="AK4:AL4"/>
    <mergeCell ref="B28:D28"/>
    <mergeCell ref="AW4:AX4"/>
    <mergeCell ref="AY4:AZ4"/>
    <mergeCell ref="BE4:BF4"/>
    <mergeCell ref="BK4:BL4"/>
    <mergeCell ref="BQ4:BT4"/>
    <mergeCell ref="I4:J4"/>
    <mergeCell ref="BC4:BD4"/>
    <mergeCell ref="BI4:BJ4"/>
    <mergeCell ref="BM4:BN4"/>
    <mergeCell ref="AE5:AF5"/>
    <mergeCell ref="D4:D6"/>
    <mergeCell ref="W4:X4"/>
    <mergeCell ref="AG4:AH4"/>
    <mergeCell ref="BO4:BP4"/>
    <mergeCell ref="Y4:Z4"/>
  </mergeCells>
  <pageMargins left="0.39370078740157483" right="0.22" top="0.39370078740157483" bottom="0.19685039370078741" header="0.31496062992125978" footer="0.19685039370078741"/>
  <pageSetup paperSize="9" scale="38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972"/>
  <sheetViews>
    <sheetView topLeftCell="A3" zoomScale="40" zoomScaleNormal="40" workbookViewId="0">
      <selection activeCell="G14" sqref="G14"/>
    </sheetView>
  </sheetViews>
  <sheetFormatPr baseColWidth="10" defaultColWidth="11.1640625" defaultRowHeight="15" customHeight="1"/>
  <cols>
    <col min="1" max="1" width="11.1640625" style="87" customWidth="1"/>
    <col min="2" max="2" width="24.1640625" style="79" customWidth="1"/>
    <col min="3" max="3" width="40.6640625" style="80" customWidth="1"/>
    <col min="4" max="4" width="25.1640625" style="86" customWidth="1"/>
    <col min="5" max="5" width="33.33203125" style="119" hidden="1" customWidth="1"/>
    <col min="6" max="17" width="7.83203125" style="86" hidden="1" customWidth="1"/>
    <col min="18" max="29" width="12" style="86" customWidth="1"/>
    <col min="30" max="31" width="7.83203125" style="86" customWidth="1"/>
    <col min="32" max="61" width="7.83203125" style="86" hidden="1" customWidth="1"/>
    <col min="62" max="67" width="8.1640625" style="86" hidden="1" customWidth="1"/>
    <col min="68" max="71" width="11.33203125" style="85" customWidth="1"/>
    <col min="72" max="76" width="11.33203125" style="85" hidden="1" customWidth="1"/>
    <col min="77" max="77" width="11.1640625" style="86" customWidth="1"/>
    <col min="78" max="16384" width="11.1640625" style="86"/>
  </cols>
  <sheetData>
    <row r="1" spans="1:94" ht="38" hidden="1" customHeight="1">
      <c r="A1" s="78"/>
      <c r="D1" s="81"/>
      <c r="E1" s="82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  <c r="BL1" s="83"/>
      <c r="BM1" s="83"/>
      <c r="BN1" s="84"/>
      <c r="BO1" s="84"/>
    </row>
    <row r="2" spans="1:94" ht="38" hidden="1" customHeight="1">
      <c r="D2" s="81"/>
      <c r="E2" s="82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/>
      <c r="BH2" s="83"/>
      <c r="BI2" s="83"/>
      <c r="BJ2" s="83"/>
      <c r="BK2" s="83"/>
      <c r="BL2" s="83"/>
      <c r="BM2" s="83"/>
      <c r="BN2" s="84"/>
      <c r="BO2" s="84"/>
    </row>
    <row r="3" spans="1:94" ht="63.5" customHeight="1">
      <c r="A3" s="156" t="s">
        <v>22</v>
      </c>
      <c r="B3" s="169"/>
      <c r="C3" s="170"/>
      <c r="D3" s="171"/>
      <c r="E3" s="172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  <c r="AB3" s="171"/>
      <c r="AC3" s="171"/>
      <c r="AD3" s="171"/>
      <c r="AE3" s="171"/>
      <c r="AF3" s="171"/>
      <c r="AG3" s="171"/>
      <c r="AH3" s="171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1"/>
      <c r="AV3" s="171"/>
      <c r="AW3" s="171"/>
      <c r="AX3" s="171"/>
      <c r="AY3" s="171"/>
      <c r="AZ3" s="171"/>
      <c r="BA3" s="171"/>
      <c r="BB3" s="171"/>
      <c r="BC3" s="171"/>
      <c r="BD3" s="171"/>
      <c r="BE3" s="171"/>
      <c r="BF3" s="171"/>
      <c r="BG3" s="171"/>
      <c r="BH3" s="171"/>
      <c r="BI3" s="171"/>
      <c r="BJ3" s="171"/>
      <c r="BK3" s="171"/>
      <c r="BL3" s="171"/>
      <c r="BM3" s="171"/>
      <c r="BN3" s="171"/>
      <c r="BO3" s="171"/>
      <c r="BP3" s="173"/>
      <c r="BQ3" s="173"/>
      <c r="BR3" s="173"/>
      <c r="BS3" s="173"/>
      <c r="BT3" s="173"/>
      <c r="BU3" s="173"/>
      <c r="BV3" s="173"/>
      <c r="BW3" s="173"/>
      <c r="BX3" s="173"/>
      <c r="BY3" s="171"/>
    </row>
    <row r="4" spans="1:94" s="94" customFormat="1" ht="41" customHeight="1">
      <c r="A4" s="165" t="s">
        <v>0</v>
      </c>
      <c r="B4" s="165" t="s">
        <v>1</v>
      </c>
      <c r="C4" s="168" t="s">
        <v>23</v>
      </c>
      <c r="D4" s="162" t="s">
        <v>99</v>
      </c>
      <c r="E4" s="167" t="s">
        <v>26</v>
      </c>
      <c r="F4" s="163">
        <v>26</v>
      </c>
      <c r="G4" s="149"/>
      <c r="H4" s="163">
        <v>27</v>
      </c>
      <c r="I4" s="149"/>
      <c r="J4" s="163">
        <v>28</v>
      </c>
      <c r="K4" s="149"/>
      <c r="L4" s="163">
        <v>29</v>
      </c>
      <c r="M4" s="149"/>
      <c r="N4" s="163">
        <v>30</v>
      </c>
      <c r="O4" s="149"/>
      <c r="P4" s="163">
        <v>31</v>
      </c>
      <c r="Q4" s="149"/>
      <c r="R4" s="163">
        <v>1</v>
      </c>
      <c r="S4" s="149"/>
      <c r="T4" s="163">
        <v>2</v>
      </c>
      <c r="U4" s="149"/>
      <c r="V4" s="163">
        <v>3</v>
      </c>
      <c r="W4" s="149"/>
      <c r="X4" s="163">
        <v>4</v>
      </c>
      <c r="Y4" s="149"/>
      <c r="Z4" s="163">
        <v>5</v>
      </c>
      <c r="AA4" s="149"/>
      <c r="AB4" s="163">
        <v>6</v>
      </c>
      <c r="AC4" s="149"/>
      <c r="AD4" s="163">
        <v>7</v>
      </c>
      <c r="AE4" s="149"/>
      <c r="AF4" s="163">
        <v>8</v>
      </c>
      <c r="AG4" s="149"/>
      <c r="AH4" s="163">
        <v>9</v>
      </c>
      <c r="AI4" s="149"/>
      <c r="AJ4" s="163">
        <v>10</v>
      </c>
      <c r="AK4" s="149"/>
      <c r="AL4" s="163">
        <v>11</v>
      </c>
      <c r="AM4" s="149"/>
      <c r="AN4" s="163">
        <v>12</v>
      </c>
      <c r="AO4" s="149"/>
      <c r="AP4" s="163">
        <v>13</v>
      </c>
      <c r="AQ4" s="149"/>
      <c r="AR4" s="163">
        <v>14</v>
      </c>
      <c r="AS4" s="149"/>
      <c r="AT4" s="163">
        <v>15</v>
      </c>
      <c r="AU4" s="149"/>
      <c r="AV4" s="163">
        <v>16</v>
      </c>
      <c r="AW4" s="149"/>
      <c r="AX4" s="163">
        <v>17</v>
      </c>
      <c r="AY4" s="149"/>
      <c r="AZ4" s="163">
        <v>18</v>
      </c>
      <c r="BA4" s="149"/>
      <c r="BB4" s="163">
        <v>19</v>
      </c>
      <c r="BC4" s="149"/>
      <c r="BD4" s="163">
        <v>20</v>
      </c>
      <c r="BE4" s="149"/>
      <c r="BF4" s="163">
        <v>21</v>
      </c>
      <c r="BG4" s="149"/>
      <c r="BH4" s="163">
        <v>22</v>
      </c>
      <c r="BI4" s="149"/>
      <c r="BJ4" s="163">
        <v>23</v>
      </c>
      <c r="BK4" s="149"/>
      <c r="BL4" s="163">
        <v>24</v>
      </c>
      <c r="BM4" s="149"/>
      <c r="BN4" s="163">
        <v>25</v>
      </c>
      <c r="BO4" s="149"/>
      <c r="BP4" s="162" t="s">
        <v>27</v>
      </c>
      <c r="BQ4" s="150"/>
      <c r="BR4" s="150"/>
      <c r="BS4" s="149"/>
      <c r="BT4" s="162" t="s">
        <v>28</v>
      </c>
      <c r="BU4" s="150"/>
      <c r="BV4" s="150"/>
      <c r="BW4" s="149"/>
      <c r="BX4" s="93"/>
      <c r="CK4" s="84"/>
      <c r="CL4" s="84"/>
      <c r="CM4" s="84"/>
      <c r="CN4" s="84"/>
      <c r="CO4" s="84"/>
      <c r="CP4" s="84"/>
    </row>
    <row r="5" spans="1:94" s="94" customFormat="1" ht="41" customHeight="1">
      <c r="A5" s="146"/>
      <c r="B5" s="146"/>
      <c r="C5" s="146"/>
      <c r="D5" s="146"/>
      <c r="E5" s="146"/>
      <c r="F5" s="88"/>
      <c r="G5" s="89"/>
      <c r="H5" s="88"/>
      <c r="I5" s="89"/>
      <c r="J5" s="88"/>
      <c r="K5" s="89"/>
      <c r="L5" s="88"/>
      <c r="M5" s="89"/>
      <c r="N5" s="88"/>
      <c r="O5" s="89"/>
      <c r="P5" s="88"/>
      <c r="Q5" s="89"/>
      <c r="R5" s="95">
        <v>37500</v>
      </c>
      <c r="S5" s="95">
        <v>50000</v>
      </c>
      <c r="T5" s="95">
        <v>37500</v>
      </c>
      <c r="U5" s="95">
        <v>50000</v>
      </c>
      <c r="V5" s="95">
        <v>37500</v>
      </c>
      <c r="W5" s="95">
        <v>50000</v>
      </c>
      <c r="X5" s="95">
        <v>37500</v>
      </c>
      <c r="Y5" s="95">
        <v>50000</v>
      </c>
      <c r="Z5" s="95">
        <v>37500</v>
      </c>
      <c r="AA5" s="95">
        <v>50000</v>
      </c>
      <c r="AB5" s="95">
        <v>37500</v>
      </c>
      <c r="AC5" s="95">
        <v>50000</v>
      </c>
      <c r="AD5" s="164">
        <v>75000</v>
      </c>
      <c r="AE5" s="149"/>
      <c r="AF5" s="88"/>
      <c r="AG5" s="89"/>
      <c r="AH5" s="88"/>
      <c r="AI5" s="89"/>
      <c r="AJ5" s="88"/>
      <c r="AK5" s="89"/>
      <c r="AL5" s="88"/>
      <c r="AM5" s="89"/>
      <c r="AN5" s="88"/>
      <c r="AO5" s="89"/>
      <c r="AP5" s="88"/>
      <c r="AQ5" s="89"/>
      <c r="AR5" s="88"/>
      <c r="AS5" s="89"/>
      <c r="AT5" s="88"/>
      <c r="AU5" s="89"/>
      <c r="AV5" s="88"/>
      <c r="AW5" s="89"/>
      <c r="AX5" s="88"/>
      <c r="AY5" s="89"/>
      <c r="AZ5" s="88"/>
      <c r="BA5" s="89"/>
      <c r="BB5" s="88"/>
      <c r="BC5" s="89"/>
      <c r="BD5" s="88"/>
      <c r="BE5" s="89"/>
      <c r="BF5" s="88"/>
      <c r="BG5" s="89"/>
      <c r="BH5" s="88"/>
      <c r="BI5" s="89"/>
      <c r="BJ5" s="88"/>
      <c r="BK5" s="89"/>
      <c r="BL5" s="88"/>
      <c r="BM5" s="89"/>
      <c r="BN5" s="88"/>
      <c r="BO5" s="89"/>
      <c r="BP5" s="90"/>
      <c r="BQ5" s="91"/>
      <c r="BR5" s="91"/>
      <c r="BS5" s="92"/>
      <c r="BT5" s="90"/>
      <c r="BU5" s="91"/>
      <c r="BV5" s="91"/>
      <c r="BW5" s="92"/>
      <c r="BX5" s="93"/>
      <c r="CK5" s="84"/>
      <c r="CL5" s="84"/>
      <c r="CM5" s="84"/>
      <c r="CN5" s="84"/>
      <c r="CO5" s="84"/>
      <c r="CP5" s="84"/>
    </row>
    <row r="6" spans="1:94" ht="39.5" customHeight="1">
      <c r="A6" s="147"/>
      <c r="B6" s="147"/>
      <c r="C6" s="147"/>
      <c r="D6" s="147"/>
      <c r="E6" s="147"/>
      <c r="F6" s="96" t="s">
        <v>29</v>
      </c>
      <c r="G6" s="96" t="s">
        <v>30</v>
      </c>
      <c r="H6" s="96" t="s">
        <v>29</v>
      </c>
      <c r="I6" s="96" t="s">
        <v>30</v>
      </c>
      <c r="J6" s="96" t="s">
        <v>29</v>
      </c>
      <c r="K6" s="96" t="s">
        <v>30</v>
      </c>
      <c r="L6" s="96" t="s">
        <v>29</v>
      </c>
      <c r="M6" s="96" t="s">
        <v>30</v>
      </c>
      <c r="N6" s="96" t="s">
        <v>29</v>
      </c>
      <c r="O6" s="96" t="s">
        <v>30</v>
      </c>
      <c r="P6" s="97" t="s">
        <v>31</v>
      </c>
      <c r="Q6" s="97" t="s">
        <v>30</v>
      </c>
      <c r="R6" s="96" t="s">
        <v>29</v>
      </c>
      <c r="S6" s="96" t="s">
        <v>30</v>
      </c>
      <c r="T6" s="96" t="s">
        <v>29</v>
      </c>
      <c r="U6" s="96" t="s">
        <v>30</v>
      </c>
      <c r="V6" s="96" t="s">
        <v>29</v>
      </c>
      <c r="W6" s="96" t="s">
        <v>30</v>
      </c>
      <c r="X6" s="96" t="s">
        <v>29</v>
      </c>
      <c r="Y6" s="96" t="s">
        <v>30</v>
      </c>
      <c r="Z6" s="96" t="s">
        <v>29</v>
      </c>
      <c r="AA6" s="96" t="s">
        <v>30</v>
      </c>
      <c r="AB6" s="96" t="s">
        <v>29</v>
      </c>
      <c r="AC6" s="96" t="s">
        <v>30</v>
      </c>
      <c r="AD6" s="97" t="s">
        <v>31</v>
      </c>
      <c r="AE6" s="97" t="s">
        <v>30</v>
      </c>
      <c r="AF6" s="96" t="s">
        <v>29</v>
      </c>
      <c r="AG6" s="96" t="s">
        <v>30</v>
      </c>
      <c r="AH6" s="96" t="s">
        <v>29</v>
      </c>
      <c r="AI6" s="96" t="s">
        <v>30</v>
      </c>
      <c r="AJ6" s="96" t="s">
        <v>29</v>
      </c>
      <c r="AK6" s="96" t="s">
        <v>30</v>
      </c>
      <c r="AL6" s="96" t="s">
        <v>29</v>
      </c>
      <c r="AM6" s="96" t="s">
        <v>30</v>
      </c>
      <c r="AN6" s="96" t="s">
        <v>29</v>
      </c>
      <c r="AO6" s="96" t="s">
        <v>30</v>
      </c>
      <c r="AP6" s="96" t="s">
        <v>29</v>
      </c>
      <c r="AQ6" s="96" t="s">
        <v>30</v>
      </c>
      <c r="AR6" s="97" t="s">
        <v>31</v>
      </c>
      <c r="AS6" s="97" t="s">
        <v>30</v>
      </c>
      <c r="AT6" s="96" t="s">
        <v>29</v>
      </c>
      <c r="AU6" s="96" t="s">
        <v>30</v>
      </c>
      <c r="AV6" s="96" t="s">
        <v>29</v>
      </c>
      <c r="AW6" s="96" t="s">
        <v>30</v>
      </c>
      <c r="AX6" s="96" t="s">
        <v>29</v>
      </c>
      <c r="AY6" s="96" t="s">
        <v>30</v>
      </c>
      <c r="AZ6" s="96" t="s">
        <v>29</v>
      </c>
      <c r="BA6" s="96" t="s">
        <v>30</v>
      </c>
      <c r="BB6" s="96" t="s">
        <v>29</v>
      </c>
      <c r="BC6" s="96" t="s">
        <v>30</v>
      </c>
      <c r="BD6" s="96" t="s">
        <v>29</v>
      </c>
      <c r="BE6" s="96" t="s">
        <v>30</v>
      </c>
      <c r="BF6" s="97" t="s">
        <v>31</v>
      </c>
      <c r="BG6" s="97" t="s">
        <v>30</v>
      </c>
      <c r="BH6" s="96" t="s">
        <v>29</v>
      </c>
      <c r="BI6" s="96" t="s">
        <v>30</v>
      </c>
      <c r="BJ6" s="96" t="s">
        <v>29</v>
      </c>
      <c r="BK6" s="96" t="s">
        <v>30</v>
      </c>
      <c r="BL6" s="96" t="s">
        <v>29</v>
      </c>
      <c r="BM6" s="96" t="s">
        <v>30</v>
      </c>
      <c r="BN6" s="96" t="s">
        <v>29</v>
      </c>
      <c r="BO6" s="96" t="s">
        <v>30</v>
      </c>
      <c r="BP6" s="98" t="s">
        <v>29</v>
      </c>
      <c r="BQ6" s="98" t="s">
        <v>30</v>
      </c>
      <c r="BR6" s="98" t="s">
        <v>31</v>
      </c>
      <c r="BS6" s="98" t="s">
        <v>32</v>
      </c>
      <c r="BT6" s="98" t="s">
        <v>29</v>
      </c>
      <c r="BU6" s="98" t="s">
        <v>30</v>
      </c>
      <c r="BV6" s="98" t="s">
        <v>31</v>
      </c>
      <c r="BW6" s="98" t="s">
        <v>32</v>
      </c>
      <c r="BX6" s="98" t="s">
        <v>33</v>
      </c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83"/>
      <c r="CL6" s="83"/>
      <c r="CM6" s="83"/>
      <c r="CN6" s="83"/>
      <c r="CO6" s="83"/>
      <c r="CP6" s="83"/>
    </row>
    <row r="7" spans="1:94" ht="44.25" customHeight="1">
      <c r="A7" s="99" t="s">
        <v>34</v>
      </c>
      <c r="B7" s="100" t="s">
        <v>100</v>
      </c>
      <c r="C7" s="131" t="s">
        <v>101</v>
      </c>
      <c r="D7" s="102" t="s">
        <v>99</v>
      </c>
      <c r="E7" s="103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5"/>
      <c r="Q7" s="105"/>
      <c r="R7" s="104">
        <v>8</v>
      </c>
      <c r="S7" s="104"/>
      <c r="T7" s="104">
        <v>8</v>
      </c>
      <c r="U7" s="104"/>
      <c r="V7" s="104">
        <v>8</v>
      </c>
      <c r="W7" s="104"/>
      <c r="X7" s="104">
        <v>8</v>
      </c>
      <c r="Y7" s="104"/>
      <c r="Z7" s="104">
        <v>8</v>
      </c>
      <c r="AA7" s="104"/>
      <c r="AB7" s="104">
        <v>8</v>
      </c>
      <c r="AC7" s="104"/>
      <c r="AD7" s="105"/>
      <c r="AE7" s="105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5"/>
      <c r="AS7" s="105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5"/>
      <c r="BG7" s="105"/>
      <c r="BH7" s="104"/>
      <c r="BI7" s="104"/>
      <c r="BJ7" s="104"/>
      <c r="BK7" s="104"/>
      <c r="BL7" s="104"/>
      <c r="BM7" s="104"/>
      <c r="BN7" s="104"/>
      <c r="BO7" s="104"/>
      <c r="BP7" s="106">
        <f t="shared" ref="BP7:BP27" si="0">IF(D7="Không có tay nghề",SUMIF($F$6:$BO$6,$BP$6,F7:BO7),0)</f>
        <v>48</v>
      </c>
      <c r="BQ7" s="106">
        <f t="shared" ref="BQ7:BQ27" si="1">IF(D7="Không có tay nghề",SUMIF($F$6:$BO$6,$BQ$6,F7:BO7),0)</f>
        <v>0</v>
      </c>
      <c r="BR7" s="106">
        <f t="shared" ref="BR7:BR27" si="2">IF(D7="Không có tay nghề",SUMIF($F$6:$BO$6,$BR$6,F7:BO7),0)</f>
        <v>0</v>
      </c>
      <c r="BS7" s="107"/>
      <c r="BT7" s="106">
        <f t="shared" ref="BT7:BT27" si="3">IF(D7="Có tay nghề",SUMIF($F$6:$BO$6,$BP$6,F7:BO7),0)</f>
        <v>0</v>
      </c>
      <c r="BU7" s="106">
        <f t="shared" ref="BU7:BU27" si="4">IF(D7="Có tay nghề",SUMIF($F$6:$BO$6,$BQ$6,F7:BO7),0)</f>
        <v>0</v>
      </c>
      <c r="BV7" s="106">
        <f t="shared" ref="BV7:BV27" si="5">IF(D7="Có tay nghề",SUMIF($F$6:$BO$6,$BR$6,F7:BO7),0)</f>
        <v>0</v>
      </c>
      <c r="BW7" s="107"/>
      <c r="BX7" s="108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83"/>
      <c r="CL7" s="83"/>
      <c r="CM7" s="83"/>
      <c r="CN7" s="83"/>
      <c r="CO7" s="83"/>
      <c r="CP7" s="83"/>
    </row>
    <row r="8" spans="1:94" ht="44.25" customHeight="1">
      <c r="A8" s="99" t="s">
        <v>38</v>
      </c>
      <c r="B8" s="100" t="s">
        <v>102</v>
      </c>
      <c r="C8" s="131" t="s">
        <v>103</v>
      </c>
      <c r="D8" s="102" t="s">
        <v>99</v>
      </c>
      <c r="E8" s="103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5"/>
      <c r="Q8" s="105"/>
      <c r="R8" s="104">
        <v>8</v>
      </c>
      <c r="S8" s="104"/>
      <c r="T8" s="104">
        <v>8</v>
      </c>
      <c r="U8" s="104"/>
      <c r="V8" s="104">
        <v>8</v>
      </c>
      <c r="W8" s="104"/>
      <c r="X8" s="104">
        <v>8</v>
      </c>
      <c r="Y8" s="104"/>
      <c r="Z8" s="104">
        <v>8</v>
      </c>
      <c r="AA8" s="104"/>
      <c r="AB8" s="104"/>
      <c r="AC8" s="104"/>
      <c r="AD8" s="105"/>
      <c r="AE8" s="105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5"/>
      <c r="AS8" s="105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5"/>
      <c r="BG8" s="105"/>
      <c r="BH8" s="104"/>
      <c r="BI8" s="104"/>
      <c r="BJ8" s="104"/>
      <c r="BK8" s="104"/>
      <c r="BL8" s="104"/>
      <c r="BM8" s="104"/>
      <c r="BN8" s="104"/>
      <c r="BO8" s="104"/>
      <c r="BP8" s="106">
        <f t="shared" si="0"/>
        <v>40</v>
      </c>
      <c r="BQ8" s="106">
        <f t="shared" si="1"/>
        <v>0</v>
      </c>
      <c r="BR8" s="106">
        <f t="shared" si="2"/>
        <v>0</v>
      </c>
      <c r="BS8" s="107"/>
      <c r="BT8" s="106">
        <f t="shared" si="3"/>
        <v>0</v>
      </c>
      <c r="BU8" s="106">
        <f t="shared" si="4"/>
        <v>0</v>
      </c>
      <c r="BV8" s="106">
        <f t="shared" si="5"/>
        <v>0</v>
      </c>
      <c r="BW8" s="107"/>
      <c r="BX8" s="108"/>
      <c r="BY8" s="94"/>
      <c r="BZ8" s="94"/>
      <c r="CA8" s="94"/>
      <c r="CB8" s="94"/>
      <c r="CC8" s="94"/>
      <c r="CD8" s="94"/>
      <c r="CE8" s="94"/>
      <c r="CF8" s="94"/>
      <c r="CG8" s="94"/>
      <c r="CH8" s="94"/>
      <c r="CI8" s="94"/>
      <c r="CJ8" s="94"/>
      <c r="CK8" s="83"/>
      <c r="CL8" s="83"/>
      <c r="CM8" s="83"/>
      <c r="CN8" s="83"/>
      <c r="CO8" s="83"/>
      <c r="CP8" s="83"/>
    </row>
    <row r="9" spans="1:94" ht="44.25" customHeight="1">
      <c r="A9" s="99" t="s">
        <v>41</v>
      </c>
      <c r="B9" s="100" t="s">
        <v>104</v>
      </c>
      <c r="C9" s="131" t="s">
        <v>105</v>
      </c>
      <c r="D9" s="102" t="s">
        <v>99</v>
      </c>
      <c r="E9" s="103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5"/>
      <c r="Q9" s="105"/>
      <c r="R9" s="104"/>
      <c r="S9" s="104"/>
      <c r="T9" s="104"/>
      <c r="U9" s="104"/>
      <c r="V9" s="104">
        <v>8</v>
      </c>
      <c r="W9" s="104"/>
      <c r="X9" s="104">
        <v>8</v>
      </c>
      <c r="Y9" s="104"/>
      <c r="Z9" s="104">
        <v>8</v>
      </c>
      <c r="AA9" s="104"/>
      <c r="AB9" s="104">
        <v>8</v>
      </c>
      <c r="AC9" s="104"/>
      <c r="AD9" s="105"/>
      <c r="AE9" s="105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5"/>
      <c r="AS9" s="105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5"/>
      <c r="BG9" s="105"/>
      <c r="BH9" s="104"/>
      <c r="BI9" s="104"/>
      <c r="BJ9" s="104"/>
      <c r="BK9" s="104"/>
      <c r="BL9" s="104"/>
      <c r="BM9" s="104"/>
      <c r="BN9" s="104"/>
      <c r="BO9" s="104"/>
      <c r="BP9" s="106">
        <f t="shared" si="0"/>
        <v>32</v>
      </c>
      <c r="BQ9" s="106">
        <f t="shared" si="1"/>
        <v>0</v>
      </c>
      <c r="BR9" s="106">
        <f t="shared" si="2"/>
        <v>0</v>
      </c>
      <c r="BS9" s="107"/>
      <c r="BT9" s="106">
        <f t="shared" si="3"/>
        <v>0</v>
      </c>
      <c r="BU9" s="106">
        <f t="shared" si="4"/>
        <v>0</v>
      </c>
      <c r="BV9" s="106">
        <f t="shared" si="5"/>
        <v>0</v>
      </c>
      <c r="BW9" s="107"/>
      <c r="BX9" s="108"/>
      <c r="BY9" s="94"/>
      <c r="BZ9" s="94"/>
      <c r="CA9" s="94"/>
      <c r="CB9" s="94"/>
      <c r="CC9" s="94"/>
      <c r="CD9" s="94"/>
      <c r="CE9" s="94"/>
      <c r="CF9" s="94"/>
      <c r="CG9" s="94"/>
      <c r="CH9" s="94"/>
      <c r="CI9" s="94"/>
      <c r="CJ9" s="94"/>
      <c r="CK9" s="83"/>
      <c r="CL9" s="83"/>
      <c r="CM9" s="83"/>
      <c r="CN9" s="83"/>
      <c r="CO9" s="83"/>
      <c r="CP9" s="83"/>
    </row>
    <row r="10" spans="1:94" ht="44.25" customHeight="1">
      <c r="A10" s="99" t="s">
        <v>44</v>
      </c>
      <c r="B10" s="100" t="s">
        <v>106</v>
      </c>
      <c r="C10" s="131" t="s">
        <v>107</v>
      </c>
      <c r="D10" s="102" t="s">
        <v>99</v>
      </c>
      <c r="E10" s="103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5"/>
      <c r="Q10" s="105"/>
      <c r="R10" s="104"/>
      <c r="S10" s="104"/>
      <c r="T10" s="104"/>
      <c r="U10" s="104"/>
      <c r="V10" s="104">
        <v>8</v>
      </c>
      <c r="W10" s="104"/>
      <c r="X10" s="104">
        <v>8</v>
      </c>
      <c r="Y10" s="104"/>
      <c r="Z10" s="104">
        <v>8</v>
      </c>
      <c r="AA10" s="104"/>
      <c r="AB10" s="104">
        <v>8</v>
      </c>
      <c r="AC10" s="104"/>
      <c r="AD10" s="105"/>
      <c r="AE10" s="105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5"/>
      <c r="AS10" s="105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5"/>
      <c r="BG10" s="105"/>
      <c r="BH10" s="104"/>
      <c r="BI10" s="104"/>
      <c r="BJ10" s="104"/>
      <c r="BK10" s="104"/>
      <c r="BL10" s="104"/>
      <c r="BM10" s="104"/>
      <c r="BN10" s="104"/>
      <c r="BO10" s="104"/>
      <c r="BP10" s="106">
        <f t="shared" si="0"/>
        <v>32</v>
      </c>
      <c r="BQ10" s="106">
        <f t="shared" si="1"/>
        <v>0</v>
      </c>
      <c r="BR10" s="106">
        <f t="shared" si="2"/>
        <v>0</v>
      </c>
      <c r="BS10" s="107"/>
      <c r="BT10" s="106">
        <f t="shared" si="3"/>
        <v>0</v>
      </c>
      <c r="BU10" s="106">
        <f t="shared" si="4"/>
        <v>0</v>
      </c>
      <c r="BV10" s="106">
        <f t="shared" si="5"/>
        <v>0</v>
      </c>
      <c r="BW10" s="107"/>
      <c r="BX10" s="108"/>
      <c r="BY10" s="94"/>
      <c r="BZ10" s="94"/>
      <c r="CA10" s="94"/>
      <c r="CB10" s="94"/>
      <c r="CC10" s="94"/>
      <c r="CD10" s="94"/>
      <c r="CE10" s="94"/>
      <c r="CF10" s="94"/>
      <c r="CG10" s="94"/>
      <c r="CH10" s="94"/>
      <c r="CI10" s="94"/>
      <c r="CJ10" s="94"/>
      <c r="CK10" s="83"/>
      <c r="CL10" s="83"/>
      <c r="CM10" s="83"/>
      <c r="CN10" s="83"/>
      <c r="CO10" s="83"/>
      <c r="CP10" s="83"/>
    </row>
    <row r="11" spans="1:94" ht="44.25" customHeight="1">
      <c r="A11" s="99" t="s">
        <v>47</v>
      </c>
      <c r="B11" s="100" t="s">
        <v>108</v>
      </c>
      <c r="C11" s="131" t="s">
        <v>109</v>
      </c>
      <c r="D11" s="102" t="s">
        <v>99</v>
      </c>
      <c r="E11" s="103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5"/>
      <c r="Q11" s="105"/>
      <c r="R11" s="104"/>
      <c r="S11" s="104"/>
      <c r="T11" s="104"/>
      <c r="U11" s="104"/>
      <c r="V11" s="104">
        <v>8</v>
      </c>
      <c r="W11" s="104"/>
      <c r="X11" s="104">
        <v>8</v>
      </c>
      <c r="Y11" s="104"/>
      <c r="Z11" s="104">
        <v>8</v>
      </c>
      <c r="AA11" s="104"/>
      <c r="AB11" s="104"/>
      <c r="AC11" s="104"/>
      <c r="AD11" s="105"/>
      <c r="AE11" s="105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5"/>
      <c r="AS11" s="105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5"/>
      <c r="BG11" s="105"/>
      <c r="BH11" s="104"/>
      <c r="BI11" s="104"/>
      <c r="BJ11" s="104"/>
      <c r="BK11" s="104"/>
      <c r="BL11" s="104"/>
      <c r="BM11" s="104"/>
      <c r="BN11" s="104"/>
      <c r="BO11" s="104"/>
      <c r="BP11" s="106">
        <f t="shared" si="0"/>
        <v>24</v>
      </c>
      <c r="BQ11" s="106">
        <f t="shared" si="1"/>
        <v>0</v>
      </c>
      <c r="BR11" s="106">
        <f t="shared" si="2"/>
        <v>0</v>
      </c>
      <c r="BS11" s="107"/>
      <c r="BT11" s="106">
        <f t="shared" si="3"/>
        <v>0</v>
      </c>
      <c r="BU11" s="106">
        <f t="shared" si="4"/>
        <v>0</v>
      </c>
      <c r="BV11" s="106">
        <f t="shared" si="5"/>
        <v>0</v>
      </c>
      <c r="BW11" s="107"/>
      <c r="BX11" s="108"/>
      <c r="BY11" s="94"/>
      <c r="BZ11" s="94"/>
      <c r="CA11" s="94"/>
      <c r="CB11" s="94"/>
      <c r="CC11" s="94"/>
      <c r="CD11" s="94"/>
      <c r="CE11" s="94"/>
      <c r="CF11" s="94"/>
      <c r="CG11" s="94"/>
      <c r="CH11" s="94"/>
      <c r="CI11" s="94"/>
      <c r="CJ11" s="94"/>
      <c r="CK11" s="83"/>
      <c r="CL11" s="83"/>
      <c r="CM11" s="83"/>
      <c r="CN11" s="83"/>
      <c r="CO11" s="83"/>
      <c r="CP11" s="83"/>
    </row>
    <row r="12" spans="1:94" ht="44.25" customHeight="1">
      <c r="A12" s="99" t="s">
        <v>50</v>
      </c>
      <c r="B12" s="100" t="s">
        <v>110</v>
      </c>
      <c r="C12" s="131" t="s">
        <v>111</v>
      </c>
      <c r="D12" s="102" t="s">
        <v>99</v>
      </c>
      <c r="E12" s="103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5"/>
      <c r="Q12" s="105"/>
      <c r="R12" s="104"/>
      <c r="S12" s="104"/>
      <c r="T12" s="104"/>
      <c r="U12" s="104"/>
      <c r="V12" s="104">
        <v>8</v>
      </c>
      <c r="W12" s="104"/>
      <c r="X12" s="104">
        <v>8</v>
      </c>
      <c r="Y12" s="104"/>
      <c r="Z12" s="104">
        <v>8</v>
      </c>
      <c r="AA12" s="104"/>
      <c r="AB12" s="104">
        <v>8</v>
      </c>
      <c r="AC12" s="104"/>
      <c r="AD12" s="105"/>
      <c r="AE12" s="105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5"/>
      <c r="AS12" s="105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5"/>
      <c r="BG12" s="105"/>
      <c r="BH12" s="104"/>
      <c r="BI12" s="104"/>
      <c r="BJ12" s="104"/>
      <c r="BK12" s="104"/>
      <c r="BL12" s="104"/>
      <c r="BM12" s="104"/>
      <c r="BN12" s="104"/>
      <c r="BO12" s="104"/>
      <c r="BP12" s="106">
        <f t="shared" si="0"/>
        <v>32</v>
      </c>
      <c r="BQ12" s="106">
        <f t="shared" si="1"/>
        <v>0</v>
      </c>
      <c r="BR12" s="106">
        <f t="shared" si="2"/>
        <v>0</v>
      </c>
      <c r="BS12" s="107"/>
      <c r="BT12" s="106">
        <f t="shared" si="3"/>
        <v>0</v>
      </c>
      <c r="BU12" s="106">
        <f t="shared" si="4"/>
        <v>0</v>
      </c>
      <c r="BV12" s="106">
        <f t="shared" si="5"/>
        <v>0</v>
      </c>
      <c r="BW12" s="107"/>
      <c r="BX12" s="108"/>
      <c r="BY12" s="94"/>
      <c r="BZ12" s="94"/>
      <c r="CA12" s="94"/>
      <c r="CB12" s="94"/>
      <c r="CC12" s="94"/>
      <c r="CD12" s="94"/>
      <c r="CE12" s="94"/>
      <c r="CF12" s="94"/>
      <c r="CG12" s="94"/>
      <c r="CH12" s="94"/>
      <c r="CI12" s="94"/>
      <c r="CJ12" s="94"/>
      <c r="CK12" s="83"/>
      <c r="CL12" s="83"/>
      <c r="CM12" s="83"/>
      <c r="CN12" s="83"/>
      <c r="CO12" s="83"/>
      <c r="CP12" s="83"/>
    </row>
    <row r="13" spans="1:94" ht="44.25" customHeight="1">
      <c r="A13" s="99" t="s">
        <v>53</v>
      </c>
      <c r="B13" s="100" t="s">
        <v>112</v>
      </c>
      <c r="C13" s="131" t="s">
        <v>113</v>
      </c>
      <c r="D13" s="102" t="s">
        <v>99</v>
      </c>
      <c r="E13" s="103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5"/>
      <c r="Q13" s="105"/>
      <c r="R13" s="104"/>
      <c r="S13" s="104"/>
      <c r="T13" s="104"/>
      <c r="U13" s="104"/>
      <c r="V13" s="104">
        <v>6.5</v>
      </c>
      <c r="W13" s="104"/>
      <c r="X13" s="104">
        <v>8</v>
      </c>
      <c r="Y13" s="104"/>
      <c r="Z13" s="104">
        <v>8</v>
      </c>
      <c r="AA13" s="104"/>
      <c r="AB13" s="104">
        <v>8</v>
      </c>
      <c r="AC13" s="104"/>
      <c r="AD13" s="105"/>
      <c r="AE13" s="105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5"/>
      <c r="AS13" s="105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5"/>
      <c r="BG13" s="105"/>
      <c r="BH13" s="104"/>
      <c r="BI13" s="104"/>
      <c r="BJ13" s="104"/>
      <c r="BK13" s="104"/>
      <c r="BL13" s="104"/>
      <c r="BM13" s="104"/>
      <c r="BN13" s="104"/>
      <c r="BO13" s="104"/>
      <c r="BP13" s="106">
        <f t="shared" si="0"/>
        <v>30.5</v>
      </c>
      <c r="BQ13" s="106">
        <f t="shared" si="1"/>
        <v>0</v>
      </c>
      <c r="BR13" s="106">
        <f t="shared" si="2"/>
        <v>0</v>
      </c>
      <c r="BS13" s="107"/>
      <c r="BT13" s="106">
        <f t="shared" si="3"/>
        <v>0</v>
      </c>
      <c r="BU13" s="106">
        <f t="shared" si="4"/>
        <v>0</v>
      </c>
      <c r="BV13" s="106">
        <f t="shared" si="5"/>
        <v>0</v>
      </c>
      <c r="BW13" s="107"/>
      <c r="BX13" s="108"/>
      <c r="BY13" s="94"/>
      <c r="BZ13" s="94"/>
      <c r="CA13" s="94"/>
      <c r="CB13" s="94"/>
      <c r="CC13" s="94"/>
      <c r="CD13" s="94"/>
      <c r="CE13" s="94"/>
      <c r="CF13" s="94"/>
      <c r="CG13" s="94"/>
      <c r="CH13" s="94"/>
      <c r="CI13" s="94"/>
      <c r="CJ13" s="94"/>
      <c r="CK13" s="83"/>
      <c r="CL13" s="83"/>
      <c r="CM13" s="83"/>
      <c r="CN13" s="83"/>
      <c r="CO13" s="83"/>
      <c r="CP13" s="83"/>
    </row>
    <row r="14" spans="1:94" ht="44.25" customHeight="1">
      <c r="A14" s="99" t="s">
        <v>56</v>
      </c>
      <c r="B14" s="100" t="s">
        <v>114</v>
      </c>
      <c r="C14" s="131" t="s">
        <v>115</v>
      </c>
      <c r="D14" s="102" t="s">
        <v>99</v>
      </c>
      <c r="E14" s="103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5"/>
      <c r="Q14" s="105"/>
      <c r="R14" s="104"/>
      <c r="S14" s="104"/>
      <c r="T14" s="104"/>
      <c r="U14" s="104"/>
      <c r="V14" s="104">
        <v>8</v>
      </c>
      <c r="W14" s="104"/>
      <c r="X14" s="104">
        <v>8</v>
      </c>
      <c r="Y14" s="104"/>
      <c r="Z14" s="104">
        <v>8</v>
      </c>
      <c r="AA14" s="104"/>
      <c r="AB14" s="104">
        <v>8</v>
      </c>
      <c r="AC14" s="104"/>
      <c r="AD14" s="105"/>
      <c r="AE14" s="105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5"/>
      <c r="AS14" s="105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5"/>
      <c r="BG14" s="105"/>
      <c r="BH14" s="104"/>
      <c r="BI14" s="104"/>
      <c r="BJ14" s="104"/>
      <c r="BK14" s="104"/>
      <c r="BL14" s="104"/>
      <c r="BM14" s="104"/>
      <c r="BN14" s="104"/>
      <c r="BO14" s="104"/>
      <c r="BP14" s="106">
        <f t="shared" si="0"/>
        <v>32</v>
      </c>
      <c r="BQ14" s="106">
        <f t="shared" si="1"/>
        <v>0</v>
      </c>
      <c r="BR14" s="106">
        <f t="shared" si="2"/>
        <v>0</v>
      </c>
      <c r="BS14" s="107"/>
      <c r="BT14" s="106">
        <f t="shared" si="3"/>
        <v>0</v>
      </c>
      <c r="BU14" s="106">
        <f t="shared" si="4"/>
        <v>0</v>
      </c>
      <c r="BV14" s="106">
        <f t="shared" si="5"/>
        <v>0</v>
      </c>
      <c r="BW14" s="107"/>
      <c r="BX14" s="108"/>
      <c r="BY14" s="94"/>
      <c r="BZ14" s="94"/>
      <c r="CA14" s="94"/>
      <c r="CB14" s="94"/>
      <c r="CC14" s="94"/>
      <c r="CD14" s="94"/>
      <c r="CE14" s="94"/>
      <c r="CF14" s="94"/>
      <c r="CG14" s="94"/>
      <c r="CH14" s="94"/>
      <c r="CI14" s="94"/>
      <c r="CJ14" s="94"/>
      <c r="CK14" s="83"/>
      <c r="CL14" s="83"/>
      <c r="CM14" s="83"/>
      <c r="CN14" s="83"/>
      <c r="CO14" s="83"/>
      <c r="CP14" s="83"/>
    </row>
    <row r="15" spans="1:94" ht="44.25" customHeight="1">
      <c r="A15" s="99" t="s">
        <v>59</v>
      </c>
      <c r="B15" s="100" t="s">
        <v>116</v>
      </c>
      <c r="C15" s="131" t="s">
        <v>82</v>
      </c>
      <c r="D15" s="102" t="s">
        <v>99</v>
      </c>
      <c r="E15" s="103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5"/>
      <c r="Q15" s="105"/>
      <c r="R15" s="104"/>
      <c r="S15" s="104"/>
      <c r="T15" s="104"/>
      <c r="U15" s="104"/>
      <c r="V15" s="104">
        <v>8</v>
      </c>
      <c r="W15" s="104"/>
      <c r="X15" s="104">
        <v>8</v>
      </c>
      <c r="Y15" s="104"/>
      <c r="Z15" s="104">
        <v>8</v>
      </c>
      <c r="AA15" s="104"/>
      <c r="AB15" s="104">
        <v>8</v>
      </c>
      <c r="AC15" s="104"/>
      <c r="AD15" s="105"/>
      <c r="AE15" s="105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5"/>
      <c r="AS15" s="105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5"/>
      <c r="BG15" s="105"/>
      <c r="BH15" s="104"/>
      <c r="BI15" s="104"/>
      <c r="BJ15" s="104"/>
      <c r="BK15" s="104"/>
      <c r="BL15" s="104"/>
      <c r="BM15" s="104"/>
      <c r="BN15" s="104"/>
      <c r="BO15" s="104"/>
      <c r="BP15" s="106">
        <f t="shared" si="0"/>
        <v>32</v>
      </c>
      <c r="BQ15" s="106">
        <f t="shared" si="1"/>
        <v>0</v>
      </c>
      <c r="BR15" s="106">
        <f t="shared" si="2"/>
        <v>0</v>
      </c>
      <c r="BS15" s="107"/>
      <c r="BT15" s="106">
        <f t="shared" si="3"/>
        <v>0</v>
      </c>
      <c r="BU15" s="106">
        <f t="shared" si="4"/>
        <v>0</v>
      </c>
      <c r="BV15" s="106">
        <f t="shared" si="5"/>
        <v>0</v>
      </c>
      <c r="BW15" s="107"/>
      <c r="BX15" s="108"/>
      <c r="BY15" s="94"/>
      <c r="BZ15" s="94"/>
      <c r="CA15" s="94"/>
      <c r="CB15" s="94"/>
      <c r="CC15" s="94"/>
      <c r="CD15" s="94"/>
      <c r="CE15" s="94"/>
      <c r="CF15" s="94"/>
      <c r="CG15" s="94"/>
      <c r="CH15" s="94"/>
      <c r="CI15" s="94"/>
      <c r="CJ15" s="94"/>
      <c r="CK15" s="83"/>
      <c r="CL15" s="83"/>
      <c r="CM15" s="83"/>
      <c r="CN15" s="83"/>
      <c r="CO15" s="83"/>
      <c r="CP15" s="83"/>
    </row>
    <row r="16" spans="1:94" ht="44.25" customHeight="1">
      <c r="A16" s="99" t="s">
        <v>62</v>
      </c>
      <c r="B16" s="100" t="s">
        <v>117</v>
      </c>
      <c r="C16" s="131" t="s">
        <v>118</v>
      </c>
      <c r="D16" s="102" t="s">
        <v>99</v>
      </c>
      <c r="E16" s="103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5"/>
      <c r="Q16" s="105"/>
      <c r="R16" s="104"/>
      <c r="S16" s="104"/>
      <c r="T16" s="104"/>
      <c r="U16" s="104"/>
      <c r="V16" s="104">
        <v>8</v>
      </c>
      <c r="W16" s="104"/>
      <c r="X16" s="104">
        <v>8</v>
      </c>
      <c r="Y16" s="104"/>
      <c r="Z16" s="104">
        <v>8</v>
      </c>
      <c r="AA16" s="104"/>
      <c r="AB16" s="104">
        <v>8</v>
      </c>
      <c r="AC16" s="104"/>
      <c r="AD16" s="105"/>
      <c r="AE16" s="105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5"/>
      <c r="AS16" s="105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5"/>
      <c r="BG16" s="105"/>
      <c r="BH16" s="104"/>
      <c r="BI16" s="104"/>
      <c r="BJ16" s="104"/>
      <c r="BK16" s="104"/>
      <c r="BL16" s="104"/>
      <c r="BM16" s="104"/>
      <c r="BN16" s="104"/>
      <c r="BO16" s="104"/>
      <c r="BP16" s="106">
        <f t="shared" si="0"/>
        <v>32</v>
      </c>
      <c r="BQ16" s="106">
        <f t="shared" si="1"/>
        <v>0</v>
      </c>
      <c r="BR16" s="106">
        <f t="shared" si="2"/>
        <v>0</v>
      </c>
      <c r="BS16" s="107"/>
      <c r="BT16" s="106">
        <f t="shared" si="3"/>
        <v>0</v>
      </c>
      <c r="BU16" s="106">
        <f t="shared" si="4"/>
        <v>0</v>
      </c>
      <c r="BV16" s="106">
        <f t="shared" si="5"/>
        <v>0</v>
      </c>
      <c r="BW16" s="107"/>
      <c r="BX16" s="108"/>
      <c r="BY16" s="94"/>
      <c r="BZ16" s="94"/>
      <c r="CA16" s="94"/>
      <c r="CB16" s="94"/>
      <c r="CC16" s="94"/>
      <c r="CD16" s="94"/>
      <c r="CE16" s="94"/>
      <c r="CF16" s="94"/>
      <c r="CG16" s="94"/>
      <c r="CH16" s="94"/>
      <c r="CI16" s="94"/>
      <c r="CJ16" s="94"/>
      <c r="CK16" s="83"/>
      <c r="CL16" s="83"/>
      <c r="CM16" s="83"/>
      <c r="CN16" s="83"/>
      <c r="CO16" s="83"/>
      <c r="CP16" s="83"/>
    </row>
    <row r="17" spans="1:94" ht="44.25" customHeight="1">
      <c r="A17" s="99" t="s">
        <v>65</v>
      </c>
      <c r="B17" s="100" t="s">
        <v>119</v>
      </c>
      <c r="C17" s="131" t="s">
        <v>120</v>
      </c>
      <c r="D17" s="102" t="s">
        <v>99</v>
      </c>
      <c r="E17" s="103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5"/>
      <c r="Q17" s="105"/>
      <c r="R17" s="104"/>
      <c r="S17" s="104"/>
      <c r="T17" s="104"/>
      <c r="U17" s="104"/>
      <c r="V17" s="104">
        <v>6.5</v>
      </c>
      <c r="W17" s="104"/>
      <c r="X17" s="104">
        <v>8</v>
      </c>
      <c r="Y17" s="104"/>
      <c r="Z17" s="104">
        <v>8</v>
      </c>
      <c r="AA17" s="104"/>
      <c r="AB17" s="104">
        <v>8</v>
      </c>
      <c r="AC17" s="104"/>
      <c r="AD17" s="105"/>
      <c r="AE17" s="105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5"/>
      <c r="AS17" s="105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5"/>
      <c r="BG17" s="105"/>
      <c r="BH17" s="104"/>
      <c r="BI17" s="104"/>
      <c r="BJ17" s="104"/>
      <c r="BK17" s="104"/>
      <c r="BL17" s="104"/>
      <c r="BM17" s="104"/>
      <c r="BN17" s="104"/>
      <c r="BO17" s="104"/>
      <c r="BP17" s="106">
        <f t="shared" si="0"/>
        <v>30.5</v>
      </c>
      <c r="BQ17" s="106">
        <f t="shared" si="1"/>
        <v>0</v>
      </c>
      <c r="BR17" s="106">
        <f t="shared" si="2"/>
        <v>0</v>
      </c>
      <c r="BS17" s="107"/>
      <c r="BT17" s="106">
        <f t="shared" si="3"/>
        <v>0</v>
      </c>
      <c r="BU17" s="106">
        <f t="shared" si="4"/>
        <v>0</v>
      </c>
      <c r="BV17" s="106">
        <f t="shared" si="5"/>
        <v>0</v>
      </c>
      <c r="BW17" s="107"/>
      <c r="BX17" s="108"/>
      <c r="BY17" s="94"/>
      <c r="BZ17" s="94"/>
      <c r="CA17" s="94"/>
      <c r="CB17" s="94"/>
      <c r="CC17" s="94"/>
      <c r="CD17" s="94"/>
      <c r="CE17" s="94"/>
      <c r="CF17" s="94"/>
      <c r="CG17" s="94"/>
      <c r="CH17" s="94"/>
      <c r="CI17" s="94"/>
      <c r="CJ17" s="94"/>
      <c r="CK17" s="83"/>
      <c r="CL17" s="83"/>
      <c r="CM17" s="83"/>
      <c r="CN17" s="83"/>
      <c r="CO17" s="83"/>
      <c r="CP17" s="83"/>
    </row>
    <row r="18" spans="1:94" ht="44.25" customHeight="1">
      <c r="A18" s="99" t="s">
        <v>68</v>
      </c>
      <c r="B18" s="100" t="s">
        <v>121</v>
      </c>
      <c r="C18" s="131" t="s">
        <v>122</v>
      </c>
      <c r="D18" s="102" t="s">
        <v>99</v>
      </c>
      <c r="E18" s="103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5"/>
      <c r="Q18" s="105"/>
      <c r="R18" s="104"/>
      <c r="S18" s="104"/>
      <c r="T18" s="104"/>
      <c r="U18" s="104"/>
      <c r="V18" s="104">
        <v>8</v>
      </c>
      <c r="W18" s="104"/>
      <c r="X18" s="104">
        <v>8</v>
      </c>
      <c r="Y18" s="104"/>
      <c r="Z18" s="104">
        <v>8</v>
      </c>
      <c r="AA18" s="104"/>
      <c r="AB18" s="104">
        <v>8</v>
      </c>
      <c r="AC18" s="104"/>
      <c r="AD18" s="105"/>
      <c r="AE18" s="105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5"/>
      <c r="AS18" s="105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5"/>
      <c r="BG18" s="105"/>
      <c r="BH18" s="104"/>
      <c r="BI18" s="104"/>
      <c r="BJ18" s="104"/>
      <c r="BK18" s="104"/>
      <c r="BL18" s="104"/>
      <c r="BM18" s="104"/>
      <c r="BN18" s="104"/>
      <c r="BO18" s="104"/>
      <c r="BP18" s="106">
        <f t="shared" si="0"/>
        <v>32</v>
      </c>
      <c r="BQ18" s="106">
        <f t="shared" si="1"/>
        <v>0</v>
      </c>
      <c r="BR18" s="106">
        <f t="shared" si="2"/>
        <v>0</v>
      </c>
      <c r="BS18" s="107"/>
      <c r="BT18" s="106">
        <f t="shared" si="3"/>
        <v>0</v>
      </c>
      <c r="BU18" s="106">
        <f t="shared" si="4"/>
        <v>0</v>
      </c>
      <c r="BV18" s="106">
        <f t="shared" si="5"/>
        <v>0</v>
      </c>
      <c r="BW18" s="107"/>
      <c r="BX18" s="108"/>
      <c r="BY18" s="94"/>
      <c r="BZ18" s="94"/>
      <c r="CA18" s="94"/>
      <c r="CB18" s="94"/>
      <c r="CC18" s="94"/>
      <c r="CD18" s="94"/>
      <c r="CE18" s="94"/>
      <c r="CF18" s="94"/>
      <c r="CG18" s="94"/>
      <c r="CH18" s="94"/>
      <c r="CI18" s="94"/>
      <c r="CJ18" s="94"/>
      <c r="CK18" s="83"/>
      <c r="CL18" s="83"/>
      <c r="CM18" s="83"/>
      <c r="CN18" s="83"/>
      <c r="CO18" s="83"/>
      <c r="CP18" s="83"/>
    </row>
    <row r="19" spans="1:94" ht="44.25" customHeight="1">
      <c r="A19" s="99" t="s">
        <v>71</v>
      </c>
      <c r="B19" s="100" t="s">
        <v>123</v>
      </c>
      <c r="C19" s="131" t="s">
        <v>124</v>
      </c>
      <c r="D19" s="102" t="s">
        <v>99</v>
      </c>
      <c r="E19" s="103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5"/>
      <c r="Q19" s="105"/>
      <c r="R19" s="104"/>
      <c r="S19" s="104"/>
      <c r="T19" s="104"/>
      <c r="U19" s="104"/>
      <c r="V19" s="104">
        <v>8</v>
      </c>
      <c r="W19" s="104"/>
      <c r="X19" s="104">
        <v>8</v>
      </c>
      <c r="Y19" s="104"/>
      <c r="Z19" s="104">
        <v>8</v>
      </c>
      <c r="AA19" s="104"/>
      <c r="AB19" s="104">
        <v>8</v>
      </c>
      <c r="AC19" s="104"/>
      <c r="AD19" s="105"/>
      <c r="AE19" s="105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5"/>
      <c r="AS19" s="105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5"/>
      <c r="BG19" s="105"/>
      <c r="BH19" s="104"/>
      <c r="BI19" s="104"/>
      <c r="BJ19" s="104"/>
      <c r="BK19" s="104"/>
      <c r="BL19" s="104"/>
      <c r="BM19" s="104"/>
      <c r="BN19" s="104"/>
      <c r="BO19" s="104"/>
      <c r="BP19" s="106">
        <f t="shared" si="0"/>
        <v>32</v>
      </c>
      <c r="BQ19" s="106">
        <f t="shared" si="1"/>
        <v>0</v>
      </c>
      <c r="BR19" s="106">
        <f t="shared" si="2"/>
        <v>0</v>
      </c>
      <c r="BS19" s="107"/>
      <c r="BT19" s="106">
        <f t="shared" si="3"/>
        <v>0</v>
      </c>
      <c r="BU19" s="106">
        <f t="shared" si="4"/>
        <v>0</v>
      </c>
      <c r="BV19" s="106">
        <f t="shared" si="5"/>
        <v>0</v>
      </c>
      <c r="BW19" s="107"/>
      <c r="BX19" s="108"/>
      <c r="BY19" s="94"/>
      <c r="BZ19" s="94"/>
      <c r="CA19" s="94"/>
      <c r="CB19" s="94"/>
      <c r="CC19" s="94"/>
      <c r="CD19" s="94"/>
      <c r="CE19" s="94"/>
      <c r="CF19" s="94"/>
      <c r="CG19" s="94"/>
      <c r="CH19" s="94"/>
      <c r="CI19" s="94"/>
      <c r="CJ19" s="94"/>
      <c r="CK19" s="83"/>
      <c r="CL19" s="83"/>
      <c r="CM19" s="83"/>
      <c r="CN19" s="83"/>
      <c r="CO19" s="83"/>
      <c r="CP19" s="83"/>
    </row>
    <row r="20" spans="1:94" ht="44.25" customHeight="1">
      <c r="A20" s="99" t="s">
        <v>74</v>
      </c>
      <c r="B20" s="100" t="s">
        <v>125</v>
      </c>
      <c r="C20" s="131" t="s">
        <v>126</v>
      </c>
      <c r="D20" s="102" t="s">
        <v>99</v>
      </c>
      <c r="E20" s="103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5"/>
      <c r="Q20" s="105"/>
      <c r="R20" s="104"/>
      <c r="S20" s="104"/>
      <c r="T20" s="104"/>
      <c r="U20" s="104"/>
      <c r="V20" s="104">
        <v>8</v>
      </c>
      <c r="W20" s="104"/>
      <c r="X20" s="104">
        <v>8</v>
      </c>
      <c r="Y20" s="104"/>
      <c r="Z20" s="104">
        <v>8</v>
      </c>
      <c r="AA20" s="104"/>
      <c r="AB20" s="104">
        <v>8</v>
      </c>
      <c r="AC20" s="104"/>
      <c r="AD20" s="105"/>
      <c r="AE20" s="105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5"/>
      <c r="AS20" s="105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5"/>
      <c r="BG20" s="105"/>
      <c r="BH20" s="104"/>
      <c r="BI20" s="104"/>
      <c r="BJ20" s="104"/>
      <c r="BK20" s="104"/>
      <c r="BL20" s="104"/>
      <c r="BM20" s="104"/>
      <c r="BN20" s="104"/>
      <c r="BO20" s="104"/>
      <c r="BP20" s="106">
        <f t="shared" si="0"/>
        <v>32</v>
      </c>
      <c r="BQ20" s="106">
        <f t="shared" si="1"/>
        <v>0</v>
      </c>
      <c r="BR20" s="106">
        <f t="shared" si="2"/>
        <v>0</v>
      </c>
      <c r="BS20" s="107"/>
      <c r="BT20" s="106">
        <f t="shared" si="3"/>
        <v>0</v>
      </c>
      <c r="BU20" s="106">
        <f t="shared" si="4"/>
        <v>0</v>
      </c>
      <c r="BV20" s="106">
        <f t="shared" si="5"/>
        <v>0</v>
      </c>
      <c r="BW20" s="107"/>
      <c r="BX20" s="108"/>
      <c r="BY20" s="94"/>
      <c r="BZ20" s="94"/>
      <c r="CA20" s="94"/>
      <c r="CB20" s="94"/>
      <c r="CC20" s="94"/>
      <c r="CD20" s="94"/>
      <c r="CE20" s="94"/>
      <c r="CF20" s="94"/>
      <c r="CG20" s="94"/>
      <c r="CH20" s="94"/>
      <c r="CI20" s="94"/>
      <c r="CJ20" s="94"/>
      <c r="CK20" s="83"/>
      <c r="CL20" s="83"/>
      <c r="CM20" s="83"/>
      <c r="CN20" s="83"/>
      <c r="CO20" s="83"/>
      <c r="CP20" s="83"/>
    </row>
    <row r="21" spans="1:94" ht="44.25" customHeight="1">
      <c r="A21" s="99" t="s">
        <v>77</v>
      </c>
      <c r="B21" s="100" t="s">
        <v>127</v>
      </c>
      <c r="C21" s="131" t="s">
        <v>128</v>
      </c>
      <c r="D21" s="102" t="s">
        <v>99</v>
      </c>
      <c r="E21" s="103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5"/>
      <c r="Q21" s="105"/>
      <c r="R21" s="104"/>
      <c r="S21" s="104"/>
      <c r="T21" s="104"/>
      <c r="U21" s="104"/>
      <c r="V21" s="104">
        <v>8</v>
      </c>
      <c r="W21" s="104"/>
      <c r="X21" s="104">
        <v>8</v>
      </c>
      <c r="Y21" s="104"/>
      <c r="Z21" s="104">
        <v>8</v>
      </c>
      <c r="AA21" s="104"/>
      <c r="AB21" s="104"/>
      <c r="AC21" s="104"/>
      <c r="AD21" s="105"/>
      <c r="AE21" s="105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5"/>
      <c r="AS21" s="105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5"/>
      <c r="BG21" s="105"/>
      <c r="BH21" s="104"/>
      <c r="BI21" s="104"/>
      <c r="BJ21" s="104"/>
      <c r="BK21" s="104"/>
      <c r="BL21" s="104"/>
      <c r="BM21" s="104"/>
      <c r="BN21" s="104"/>
      <c r="BO21" s="104"/>
      <c r="BP21" s="106">
        <f t="shared" si="0"/>
        <v>24</v>
      </c>
      <c r="BQ21" s="106">
        <f t="shared" si="1"/>
        <v>0</v>
      </c>
      <c r="BR21" s="106">
        <f t="shared" si="2"/>
        <v>0</v>
      </c>
      <c r="BS21" s="107"/>
      <c r="BT21" s="106">
        <f t="shared" si="3"/>
        <v>0</v>
      </c>
      <c r="BU21" s="106">
        <f t="shared" si="4"/>
        <v>0</v>
      </c>
      <c r="BV21" s="106">
        <f t="shared" si="5"/>
        <v>0</v>
      </c>
      <c r="BW21" s="107"/>
      <c r="BX21" s="108"/>
      <c r="BY21" s="94"/>
      <c r="BZ21" s="94"/>
      <c r="CA21" s="94"/>
      <c r="CB21" s="94"/>
      <c r="CC21" s="94"/>
      <c r="CD21" s="94"/>
      <c r="CE21" s="94"/>
      <c r="CF21" s="94"/>
      <c r="CG21" s="94"/>
      <c r="CH21" s="94"/>
      <c r="CI21" s="94"/>
      <c r="CJ21" s="94"/>
      <c r="CK21" s="83"/>
      <c r="CL21" s="83"/>
      <c r="CM21" s="83"/>
      <c r="CN21" s="83"/>
      <c r="CO21" s="83"/>
      <c r="CP21" s="83"/>
    </row>
    <row r="22" spans="1:94" ht="44.25" customHeight="1">
      <c r="A22" s="99" t="s">
        <v>80</v>
      </c>
      <c r="B22" s="100" t="s">
        <v>129</v>
      </c>
      <c r="C22" s="131" t="s">
        <v>130</v>
      </c>
      <c r="D22" s="102" t="s">
        <v>99</v>
      </c>
      <c r="E22" s="103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5"/>
      <c r="Q22" s="105"/>
      <c r="R22" s="104"/>
      <c r="S22" s="104"/>
      <c r="T22" s="104"/>
      <c r="U22" s="104"/>
      <c r="V22" s="104">
        <v>6.5</v>
      </c>
      <c r="W22" s="104"/>
      <c r="X22" s="104">
        <v>8</v>
      </c>
      <c r="Y22" s="104"/>
      <c r="Z22" s="104">
        <v>8</v>
      </c>
      <c r="AA22" s="104"/>
      <c r="AB22" s="104">
        <v>8</v>
      </c>
      <c r="AC22" s="104"/>
      <c r="AD22" s="105"/>
      <c r="AE22" s="105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5"/>
      <c r="AS22" s="105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5"/>
      <c r="BG22" s="105"/>
      <c r="BH22" s="104"/>
      <c r="BI22" s="104"/>
      <c r="BJ22" s="104"/>
      <c r="BK22" s="104"/>
      <c r="BL22" s="104"/>
      <c r="BM22" s="104"/>
      <c r="BN22" s="104"/>
      <c r="BO22" s="104"/>
      <c r="BP22" s="106">
        <f t="shared" si="0"/>
        <v>30.5</v>
      </c>
      <c r="BQ22" s="106">
        <f t="shared" si="1"/>
        <v>0</v>
      </c>
      <c r="BR22" s="106">
        <f t="shared" si="2"/>
        <v>0</v>
      </c>
      <c r="BS22" s="107"/>
      <c r="BT22" s="106">
        <f t="shared" si="3"/>
        <v>0</v>
      </c>
      <c r="BU22" s="106">
        <f t="shared" si="4"/>
        <v>0</v>
      </c>
      <c r="BV22" s="106">
        <f t="shared" si="5"/>
        <v>0</v>
      </c>
      <c r="BW22" s="107"/>
      <c r="BX22" s="108"/>
      <c r="BY22" s="94"/>
      <c r="BZ22" s="94"/>
      <c r="CA22" s="94"/>
      <c r="CB22" s="94"/>
      <c r="CC22" s="94"/>
      <c r="CD22" s="94"/>
      <c r="CE22" s="94"/>
      <c r="CF22" s="94"/>
      <c r="CG22" s="94"/>
      <c r="CH22" s="94"/>
      <c r="CI22" s="94"/>
      <c r="CJ22" s="94"/>
      <c r="CK22" s="83"/>
      <c r="CL22" s="83"/>
      <c r="CM22" s="83"/>
      <c r="CN22" s="83"/>
      <c r="CO22" s="83"/>
      <c r="CP22" s="83"/>
    </row>
    <row r="23" spans="1:94" ht="44.25" customHeight="1">
      <c r="A23" s="99" t="s">
        <v>83</v>
      </c>
      <c r="B23" s="100" t="s">
        <v>131</v>
      </c>
      <c r="C23" s="131" t="s">
        <v>132</v>
      </c>
      <c r="D23" s="102" t="s">
        <v>99</v>
      </c>
      <c r="E23" s="103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5"/>
      <c r="Q23" s="105"/>
      <c r="R23" s="104"/>
      <c r="S23" s="104"/>
      <c r="T23" s="104"/>
      <c r="U23" s="104"/>
      <c r="V23" s="104">
        <v>8</v>
      </c>
      <c r="W23" s="104"/>
      <c r="X23" s="104">
        <v>8</v>
      </c>
      <c r="Y23" s="104"/>
      <c r="Z23" s="104">
        <v>8</v>
      </c>
      <c r="AA23" s="104"/>
      <c r="AB23" s="104">
        <v>8</v>
      </c>
      <c r="AC23" s="104"/>
      <c r="AD23" s="105"/>
      <c r="AE23" s="105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5"/>
      <c r="AS23" s="105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5"/>
      <c r="BG23" s="105"/>
      <c r="BH23" s="104"/>
      <c r="BI23" s="104"/>
      <c r="BJ23" s="104"/>
      <c r="BK23" s="104"/>
      <c r="BL23" s="104"/>
      <c r="BM23" s="104"/>
      <c r="BN23" s="104"/>
      <c r="BO23" s="104"/>
      <c r="BP23" s="106">
        <f t="shared" si="0"/>
        <v>32</v>
      </c>
      <c r="BQ23" s="106">
        <f t="shared" si="1"/>
        <v>0</v>
      </c>
      <c r="BR23" s="106">
        <f t="shared" si="2"/>
        <v>0</v>
      </c>
      <c r="BS23" s="107"/>
      <c r="BT23" s="106">
        <f t="shared" si="3"/>
        <v>0</v>
      </c>
      <c r="BU23" s="106">
        <f t="shared" si="4"/>
        <v>0</v>
      </c>
      <c r="BV23" s="106">
        <f t="shared" si="5"/>
        <v>0</v>
      </c>
      <c r="BW23" s="107"/>
      <c r="BX23" s="108"/>
      <c r="BY23" s="94"/>
      <c r="BZ23" s="94"/>
      <c r="CA23" s="94"/>
      <c r="CB23" s="94"/>
      <c r="CC23" s="94"/>
      <c r="CD23" s="94"/>
      <c r="CE23" s="94"/>
      <c r="CF23" s="94"/>
      <c r="CG23" s="94"/>
      <c r="CH23" s="94"/>
      <c r="CI23" s="94"/>
      <c r="CJ23" s="94"/>
      <c r="CK23" s="83"/>
      <c r="CL23" s="83"/>
      <c r="CM23" s="83"/>
      <c r="CN23" s="83"/>
      <c r="CO23" s="83"/>
      <c r="CP23" s="83"/>
    </row>
    <row r="24" spans="1:94" ht="44.25" customHeight="1">
      <c r="A24" s="99" t="s">
        <v>86</v>
      </c>
      <c r="B24" s="100" t="s">
        <v>133</v>
      </c>
      <c r="C24" s="131" t="s">
        <v>134</v>
      </c>
      <c r="D24" s="102" t="s">
        <v>99</v>
      </c>
      <c r="E24" s="103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5"/>
      <c r="Q24" s="105"/>
      <c r="R24" s="104"/>
      <c r="S24" s="104"/>
      <c r="T24" s="104"/>
      <c r="U24" s="104"/>
      <c r="V24" s="104">
        <v>8</v>
      </c>
      <c r="W24" s="104"/>
      <c r="X24" s="104">
        <v>8</v>
      </c>
      <c r="Y24" s="104"/>
      <c r="Z24" s="104">
        <v>8</v>
      </c>
      <c r="AA24" s="104"/>
      <c r="AB24" s="104">
        <v>8</v>
      </c>
      <c r="AC24" s="104"/>
      <c r="AD24" s="105"/>
      <c r="AE24" s="105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5"/>
      <c r="AS24" s="105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5"/>
      <c r="BG24" s="105"/>
      <c r="BH24" s="104"/>
      <c r="BI24" s="104"/>
      <c r="BJ24" s="104"/>
      <c r="BK24" s="104"/>
      <c r="BL24" s="104"/>
      <c r="BM24" s="104"/>
      <c r="BN24" s="104"/>
      <c r="BO24" s="104"/>
      <c r="BP24" s="106">
        <f t="shared" si="0"/>
        <v>32</v>
      </c>
      <c r="BQ24" s="106">
        <f t="shared" si="1"/>
        <v>0</v>
      </c>
      <c r="BR24" s="106">
        <f t="shared" si="2"/>
        <v>0</v>
      </c>
      <c r="BS24" s="107"/>
      <c r="BT24" s="106">
        <f t="shared" si="3"/>
        <v>0</v>
      </c>
      <c r="BU24" s="106">
        <f t="shared" si="4"/>
        <v>0</v>
      </c>
      <c r="BV24" s="106">
        <f t="shared" si="5"/>
        <v>0</v>
      </c>
      <c r="BW24" s="107"/>
      <c r="BX24" s="108"/>
      <c r="BY24" s="94"/>
      <c r="BZ24" s="94"/>
      <c r="CA24" s="94"/>
      <c r="CB24" s="94"/>
      <c r="CC24" s="94"/>
      <c r="CD24" s="94"/>
      <c r="CE24" s="94"/>
      <c r="CF24" s="94"/>
      <c r="CG24" s="94"/>
      <c r="CH24" s="94"/>
      <c r="CI24" s="94"/>
      <c r="CJ24" s="94"/>
      <c r="CK24" s="83"/>
      <c r="CL24" s="83"/>
      <c r="CM24" s="83"/>
      <c r="CN24" s="83"/>
      <c r="CO24" s="83"/>
      <c r="CP24" s="83"/>
    </row>
    <row r="25" spans="1:94" ht="44.25" customHeight="1">
      <c r="A25" s="99" t="s">
        <v>89</v>
      </c>
      <c r="B25" s="100" t="s">
        <v>135</v>
      </c>
      <c r="C25" s="131" t="s">
        <v>136</v>
      </c>
      <c r="D25" s="102" t="s">
        <v>99</v>
      </c>
      <c r="E25" s="103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5"/>
      <c r="Q25" s="105"/>
      <c r="R25" s="104"/>
      <c r="S25" s="104"/>
      <c r="T25" s="104"/>
      <c r="U25" s="104"/>
      <c r="V25" s="104">
        <v>7.5</v>
      </c>
      <c r="W25" s="104"/>
      <c r="X25" s="104">
        <v>8</v>
      </c>
      <c r="Y25" s="104"/>
      <c r="Z25" s="104">
        <v>8</v>
      </c>
      <c r="AA25" s="104"/>
      <c r="AB25" s="104">
        <v>8</v>
      </c>
      <c r="AC25" s="104"/>
      <c r="AD25" s="105"/>
      <c r="AE25" s="105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5"/>
      <c r="AS25" s="105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5"/>
      <c r="BG25" s="105"/>
      <c r="BH25" s="104"/>
      <c r="BI25" s="104"/>
      <c r="BJ25" s="104"/>
      <c r="BK25" s="104"/>
      <c r="BL25" s="104"/>
      <c r="BM25" s="104"/>
      <c r="BN25" s="104"/>
      <c r="BO25" s="104"/>
      <c r="BP25" s="106">
        <f t="shared" si="0"/>
        <v>31.5</v>
      </c>
      <c r="BQ25" s="106">
        <f t="shared" si="1"/>
        <v>0</v>
      </c>
      <c r="BR25" s="106">
        <f t="shared" si="2"/>
        <v>0</v>
      </c>
      <c r="BS25" s="107"/>
      <c r="BT25" s="106">
        <f t="shared" si="3"/>
        <v>0</v>
      </c>
      <c r="BU25" s="106">
        <f t="shared" si="4"/>
        <v>0</v>
      </c>
      <c r="BV25" s="106">
        <f t="shared" si="5"/>
        <v>0</v>
      </c>
      <c r="BW25" s="107"/>
      <c r="BX25" s="108"/>
      <c r="BY25" s="94"/>
      <c r="BZ25" s="94"/>
      <c r="CA25" s="94"/>
      <c r="CB25" s="94"/>
      <c r="CC25" s="94"/>
      <c r="CD25" s="94"/>
      <c r="CE25" s="94"/>
      <c r="CF25" s="94"/>
      <c r="CG25" s="94"/>
      <c r="CH25" s="94"/>
      <c r="CI25" s="94"/>
      <c r="CJ25" s="94"/>
      <c r="CK25" s="83"/>
      <c r="CL25" s="83"/>
      <c r="CM25" s="83"/>
      <c r="CN25" s="83"/>
      <c r="CO25" s="83"/>
      <c r="CP25" s="83"/>
    </row>
    <row r="26" spans="1:94" ht="44.25" customHeight="1">
      <c r="A26" s="99" t="s">
        <v>92</v>
      </c>
      <c r="B26" s="100" t="s">
        <v>137</v>
      </c>
      <c r="C26" s="131" t="s">
        <v>138</v>
      </c>
      <c r="D26" s="102" t="s">
        <v>99</v>
      </c>
      <c r="E26" s="103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5"/>
      <c r="Q26" s="105"/>
      <c r="R26" s="104"/>
      <c r="S26" s="104"/>
      <c r="T26" s="104"/>
      <c r="U26" s="104"/>
      <c r="V26" s="104">
        <v>8</v>
      </c>
      <c r="W26" s="104"/>
      <c r="X26" s="104">
        <v>8</v>
      </c>
      <c r="Y26" s="104"/>
      <c r="Z26" s="104">
        <v>8</v>
      </c>
      <c r="AA26" s="104"/>
      <c r="AB26" s="104">
        <v>8</v>
      </c>
      <c r="AC26" s="104"/>
      <c r="AD26" s="105"/>
      <c r="AE26" s="105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5"/>
      <c r="AS26" s="105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5"/>
      <c r="BG26" s="105"/>
      <c r="BH26" s="104"/>
      <c r="BI26" s="104"/>
      <c r="BJ26" s="104"/>
      <c r="BK26" s="104"/>
      <c r="BL26" s="104"/>
      <c r="BM26" s="104"/>
      <c r="BN26" s="104"/>
      <c r="BO26" s="104"/>
      <c r="BP26" s="106">
        <f t="shared" si="0"/>
        <v>32</v>
      </c>
      <c r="BQ26" s="106">
        <f t="shared" si="1"/>
        <v>0</v>
      </c>
      <c r="BR26" s="106">
        <f t="shared" si="2"/>
        <v>0</v>
      </c>
      <c r="BS26" s="107"/>
      <c r="BT26" s="106">
        <f t="shared" si="3"/>
        <v>0</v>
      </c>
      <c r="BU26" s="106">
        <f t="shared" si="4"/>
        <v>0</v>
      </c>
      <c r="BV26" s="106">
        <f t="shared" si="5"/>
        <v>0</v>
      </c>
      <c r="BW26" s="107"/>
      <c r="BX26" s="108"/>
      <c r="BY26" s="94"/>
      <c r="BZ26" s="94"/>
      <c r="CA26" s="94"/>
      <c r="CB26" s="94"/>
      <c r="CC26" s="94"/>
      <c r="CD26" s="94"/>
      <c r="CE26" s="94"/>
      <c r="CF26" s="94"/>
      <c r="CG26" s="94"/>
      <c r="CH26" s="94"/>
      <c r="CI26" s="94"/>
      <c r="CJ26" s="94"/>
      <c r="CK26" s="83"/>
      <c r="CL26" s="83"/>
      <c r="CM26" s="83"/>
      <c r="CN26" s="83"/>
      <c r="CO26" s="83"/>
      <c r="CP26" s="83"/>
    </row>
    <row r="27" spans="1:94" ht="44.25" customHeight="1">
      <c r="A27" s="99"/>
      <c r="B27" s="100"/>
      <c r="C27" s="101"/>
      <c r="D27" s="102" t="s">
        <v>99</v>
      </c>
      <c r="E27" s="103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5"/>
      <c r="Q27" s="105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5"/>
      <c r="AE27" s="105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5"/>
      <c r="AS27" s="105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5"/>
      <c r="BG27" s="105"/>
      <c r="BH27" s="104"/>
      <c r="BI27" s="104"/>
      <c r="BJ27" s="104"/>
      <c r="BK27" s="104"/>
      <c r="BL27" s="104"/>
      <c r="BM27" s="104"/>
      <c r="BN27" s="104"/>
      <c r="BO27" s="104"/>
      <c r="BP27" s="106">
        <f t="shared" si="0"/>
        <v>0</v>
      </c>
      <c r="BQ27" s="106">
        <f t="shared" si="1"/>
        <v>0</v>
      </c>
      <c r="BR27" s="106">
        <f t="shared" si="2"/>
        <v>0</v>
      </c>
      <c r="BS27" s="107"/>
      <c r="BT27" s="106">
        <f t="shared" si="3"/>
        <v>0</v>
      </c>
      <c r="BU27" s="106">
        <f t="shared" si="4"/>
        <v>0</v>
      </c>
      <c r="BV27" s="106">
        <f t="shared" si="5"/>
        <v>0</v>
      </c>
      <c r="BW27" s="107"/>
      <c r="BX27" s="108"/>
      <c r="BY27" s="94"/>
      <c r="BZ27" s="94"/>
      <c r="CA27" s="94"/>
      <c r="CB27" s="94"/>
      <c r="CC27" s="94"/>
      <c r="CD27" s="94"/>
      <c r="CE27" s="94"/>
      <c r="CF27" s="94"/>
      <c r="CG27" s="94"/>
      <c r="CH27" s="94"/>
      <c r="CI27" s="94"/>
      <c r="CJ27" s="94"/>
      <c r="CK27" s="83"/>
      <c r="CL27" s="83"/>
      <c r="CM27" s="83"/>
      <c r="CN27" s="83"/>
      <c r="CO27" s="83"/>
      <c r="CP27" s="83"/>
    </row>
    <row r="28" spans="1:94" ht="59.25" customHeight="1">
      <c r="A28" s="99"/>
      <c r="B28" s="166" t="s">
        <v>95</v>
      </c>
      <c r="C28" s="149"/>
      <c r="D28" s="109"/>
      <c r="E28" s="110"/>
      <c r="F28" s="111">
        <f t="shared" ref="F28:O28" si="6">COUNT(F7:F27)</f>
        <v>0</v>
      </c>
      <c r="G28" s="111">
        <f t="shared" si="6"/>
        <v>0</v>
      </c>
      <c r="H28" s="111">
        <f t="shared" si="6"/>
        <v>0</v>
      </c>
      <c r="I28" s="111">
        <f t="shared" si="6"/>
        <v>0</v>
      </c>
      <c r="J28" s="111">
        <f t="shared" si="6"/>
        <v>0</v>
      </c>
      <c r="K28" s="111">
        <f t="shared" si="6"/>
        <v>0</v>
      </c>
      <c r="L28" s="111">
        <f t="shared" si="6"/>
        <v>0</v>
      </c>
      <c r="M28" s="111">
        <f t="shared" si="6"/>
        <v>0</v>
      </c>
      <c r="N28" s="111">
        <f t="shared" si="6"/>
        <v>0</v>
      </c>
      <c r="O28" s="111">
        <f t="shared" si="6"/>
        <v>0</v>
      </c>
      <c r="P28" s="111"/>
      <c r="Q28" s="111"/>
      <c r="R28" s="111">
        <f t="shared" ref="R28:AW28" si="7">COUNT(R7:R27)</f>
        <v>2</v>
      </c>
      <c r="S28" s="111">
        <f t="shared" si="7"/>
        <v>0</v>
      </c>
      <c r="T28" s="111">
        <f t="shared" si="7"/>
        <v>2</v>
      </c>
      <c r="U28" s="111">
        <f t="shared" si="7"/>
        <v>0</v>
      </c>
      <c r="V28" s="111">
        <f t="shared" si="7"/>
        <v>20</v>
      </c>
      <c r="W28" s="111">
        <f t="shared" si="7"/>
        <v>0</v>
      </c>
      <c r="X28" s="111">
        <f t="shared" si="7"/>
        <v>20</v>
      </c>
      <c r="Y28" s="111">
        <f t="shared" si="7"/>
        <v>0</v>
      </c>
      <c r="Z28" s="111">
        <f t="shared" si="7"/>
        <v>20</v>
      </c>
      <c r="AA28" s="111">
        <f t="shared" si="7"/>
        <v>0</v>
      </c>
      <c r="AB28" s="111">
        <f t="shared" si="7"/>
        <v>17</v>
      </c>
      <c r="AC28" s="111">
        <f t="shared" si="7"/>
        <v>0</v>
      </c>
      <c r="AD28" s="111">
        <f t="shared" si="7"/>
        <v>0</v>
      </c>
      <c r="AE28" s="111">
        <f t="shared" si="7"/>
        <v>0</v>
      </c>
      <c r="AF28" s="111">
        <f t="shared" si="7"/>
        <v>0</v>
      </c>
      <c r="AG28" s="111">
        <f t="shared" si="7"/>
        <v>0</v>
      </c>
      <c r="AH28" s="111">
        <f t="shared" si="7"/>
        <v>0</v>
      </c>
      <c r="AI28" s="111">
        <f t="shared" si="7"/>
        <v>0</v>
      </c>
      <c r="AJ28" s="111">
        <f t="shared" si="7"/>
        <v>0</v>
      </c>
      <c r="AK28" s="111">
        <f t="shared" si="7"/>
        <v>0</v>
      </c>
      <c r="AL28" s="111">
        <f t="shared" si="7"/>
        <v>0</v>
      </c>
      <c r="AM28" s="111">
        <f t="shared" si="7"/>
        <v>0</v>
      </c>
      <c r="AN28" s="111">
        <f t="shared" si="7"/>
        <v>0</v>
      </c>
      <c r="AO28" s="111">
        <f t="shared" si="7"/>
        <v>0</v>
      </c>
      <c r="AP28" s="111">
        <f t="shared" si="7"/>
        <v>0</v>
      </c>
      <c r="AQ28" s="111">
        <f t="shared" si="7"/>
        <v>0</v>
      </c>
      <c r="AR28" s="111">
        <f t="shared" si="7"/>
        <v>0</v>
      </c>
      <c r="AS28" s="111">
        <f t="shared" si="7"/>
        <v>0</v>
      </c>
      <c r="AT28" s="111">
        <f t="shared" si="7"/>
        <v>0</v>
      </c>
      <c r="AU28" s="111">
        <f t="shared" si="7"/>
        <v>0</v>
      </c>
      <c r="AV28" s="111">
        <f t="shared" si="7"/>
        <v>0</v>
      </c>
      <c r="AW28" s="111">
        <f t="shared" si="7"/>
        <v>0</v>
      </c>
      <c r="AX28" s="111">
        <f t="shared" ref="AX28:CC28" si="8">COUNT(AX7:AX27)</f>
        <v>0</v>
      </c>
      <c r="AY28" s="111">
        <f t="shared" si="8"/>
        <v>0</v>
      </c>
      <c r="AZ28" s="111">
        <f t="shared" si="8"/>
        <v>0</v>
      </c>
      <c r="BA28" s="111">
        <f t="shared" si="8"/>
        <v>0</v>
      </c>
      <c r="BB28" s="111">
        <f t="shared" si="8"/>
        <v>0</v>
      </c>
      <c r="BC28" s="111">
        <f t="shared" si="8"/>
        <v>0</v>
      </c>
      <c r="BD28" s="111">
        <f t="shared" si="8"/>
        <v>0</v>
      </c>
      <c r="BE28" s="111">
        <f t="shared" si="8"/>
        <v>0</v>
      </c>
      <c r="BF28" s="111">
        <f t="shared" si="8"/>
        <v>0</v>
      </c>
      <c r="BG28" s="111">
        <f t="shared" si="8"/>
        <v>0</v>
      </c>
      <c r="BH28" s="111">
        <f t="shared" si="8"/>
        <v>0</v>
      </c>
      <c r="BI28" s="111">
        <f t="shared" si="8"/>
        <v>0</v>
      </c>
      <c r="BJ28" s="111">
        <f t="shared" si="8"/>
        <v>0</v>
      </c>
      <c r="BK28" s="111">
        <f t="shared" si="8"/>
        <v>0</v>
      </c>
      <c r="BL28" s="111">
        <f t="shared" si="8"/>
        <v>0</v>
      </c>
      <c r="BM28" s="111">
        <f t="shared" si="8"/>
        <v>0</v>
      </c>
      <c r="BN28" s="111">
        <f t="shared" si="8"/>
        <v>0</v>
      </c>
      <c r="BO28" s="111">
        <f t="shared" si="8"/>
        <v>0</v>
      </c>
      <c r="BP28" s="106">
        <f t="shared" ref="BP28:BV28" si="9">SUM(BP7:BP27)</f>
        <v>643</v>
      </c>
      <c r="BQ28" s="106">
        <f t="shared" si="9"/>
        <v>0</v>
      </c>
      <c r="BR28" s="106">
        <f t="shared" si="9"/>
        <v>0</v>
      </c>
      <c r="BS28" s="106">
        <f t="shared" si="9"/>
        <v>0</v>
      </c>
      <c r="BT28" s="106">
        <f t="shared" si="9"/>
        <v>0</v>
      </c>
      <c r="BU28" s="106">
        <f t="shared" si="9"/>
        <v>0</v>
      </c>
      <c r="BV28" s="106">
        <f t="shared" si="9"/>
        <v>0</v>
      </c>
      <c r="BW28" s="106"/>
      <c r="BX28" s="112"/>
    </row>
    <row r="29" spans="1:94" ht="21" customHeight="1">
      <c r="A29" s="113"/>
      <c r="B29" s="114"/>
      <c r="C29" s="115"/>
      <c r="D29" s="116"/>
      <c r="E29" s="117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4"/>
      <c r="BO29" s="84"/>
      <c r="BP29" s="118"/>
      <c r="BQ29" s="118"/>
      <c r="BR29" s="118"/>
      <c r="BS29" s="118"/>
      <c r="BT29" s="118"/>
      <c r="BU29" s="118"/>
      <c r="BV29" s="118"/>
      <c r="BW29" s="118"/>
      <c r="BX29" s="118"/>
    </row>
    <row r="30" spans="1:94" ht="21" customHeight="1">
      <c r="A30" s="113"/>
      <c r="B30" s="86"/>
      <c r="C30" s="86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4"/>
      <c r="BO30" s="84"/>
      <c r="BP30" s="118"/>
      <c r="BQ30" s="118"/>
      <c r="BR30" s="118"/>
      <c r="BS30" s="118"/>
      <c r="BT30" s="118"/>
      <c r="BU30" s="118"/>
      <c r="BV30" s="118"/>
      <c r="BW30" s="118"/>
      <c r="BX30" s="118"/>
    </row>
    <row r="31" spans="1:94" ht="21" customHeight="1">
      <c r="A31" s="113"/>
      <c r="B31" s="114"/>
      <c r="C31" s="115"/>
      <c r="D31" s="116"/>
      <c r="E31" s="117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83"/>
      <c r="BG31" s="83"/>
      <c r="BH31" s="83"/>
      <c r="BI31" s="83"/>
      <c r="BJ31" s="83"/>
      <c r="BK31" s="83"/>
      <c r="BL31" s="83"/>
      <c r="BM31" s="83"/>
      <c r="BN31" s="84"/>
      <c r="BO31" s="84"/>
      <c r="BP31" s="118"/>
      <c r="BQ31" s="118"/>
      <c r="BR31" s="118"/>
      <c r="BS31" s="118"/>
      <c r="BT31" s="118"/>
      <c r="BU31" s="118"/>
      <c r="BV31" s="118"/>
      <c r="BW31" s="118"/>
      <c r="BX31" s="118"/>
    </row>
    <row r="32" spans="1:94" ht="21" customHeight="1">
      <c r="A32" s="113"/>
      <c r="B32" s="114"/>
      <c r="C32" s="115"/>
      <c r="D32" s="116"/>
      <c r="E32" s="117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4"/>
      <c r="BO32" s="84"/>
      <c r="BP32" s="118"/>
      <c r="BQ32" s="118"/>
      <c r="BR32" s="118"/>
      <c r="BS32" s="118"/>
      <c r="BT32" s="118"/>
      <c r="BU32" s="118"/>
      <c r="BV32" s="118"/>
      <c r="BW32" s="118"/>
      <c r="BX32" s="118"/>
    </row>
    <row r="33" spans="1:76" ht="21" customHeight="1">
      <c r="A33" s="113"/>
      <c r="B33" s="114"/>
      <c r="C33" s="115"/>
      <c r="D33" s="116"/>
      <c r="E33" s="117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3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4"/>
      <c r="BO33" s="84"/>
      <c r="BP33" s="118"/>
      <c r="BQ33" s="118"/>
      <c r="BR33" s="118"/>
      <c r="BS33" s="118"/>
      <c r="BT33" s="118"/>
      <c r="BU33" s="118"/>
      <c r="BV33" s="118"/>
      <c r="BW33" s="118"/>
      <c r="BX33" s="118"/>
    </row>
    <row r="34" spans="1:76" ht="21" customHeight="1">
      <c r="A34" s="113"/>
      <c r="B34" s="114"/>
      <c r="C34" s="115"/>
      <c r="D34" s="116"/>
      <c r="E34" s="117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4"/>
      <c r="BO34" s="84"/>
      <c r="BP34" s="118"/>
      <c r="BQ34" s="118"/>
      <c r="BR34" s="118"/>
      <c r="BS34" s="118"/>
      <c r="BT34" s="118"/>
      <c r="BU34" s="118"/>
      <c r="BV34" s="118"/>
      <c r="BW34" s="118"/>
      <c r="BX34" s="118"/>
    </row>
    <row r="35" spans="1:76" ht="21" customHeight="1">
      <c r="A35" s="113"/>
      <c r="B35" s="114"/>
      <c r="C35" s="115"/>
      <c r="D35" s="116"/>
      <c r="E35" s="117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4"/>
      <c r="BO35" s="84"/>
      <c r="BP35" s="118"/>
      <c r="BQ35" s="118"/>
      <c r="BR35" s="118"/>
      <c r="BS35" s="118"/>
      <c r="BT35" s="118"/>
      <c r="BU35" s="118"/>
      <c r="BV35" s="118"/>
      <c r="BW35" s="118"/>
      <c r="BX35" s="118"/>
    </row>
    <row r="36" spans="1:76" ht="21" customHeight="1">
      <c r="A36" s="113"/>
      <c r="B36" s="114"/>
      <c r="C36" s="115"/>
      <c r="D36" s="116"/>
      <c r="E36" s="117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4"/>
      <c r="BO36" s="84"/>
      <c r="BP36" s="118"/>
      <c r="BQ36" s="118"/>
      <c r="BR36" s="118"/>
      <c r="BS36" s="118"/>
      <c r="BT36" s="118"/>
      <c r="BU36" s="118"/>
      <c r="BV36" s="118"/>
      <c r="BW36" s="118"/>
      <c r="BX36" s="118"/>
    </row>
    <row r="37" spans="1:76" ht="21" customHeight="1">
      <c r="A37" s="113"/>
      <c r="B37" s="114"/>
      <c r="C37" s="115"/>
      <c r="D37" s="116"/>
      <c r="E37" s="117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4"/>
      <c r="BO37" s="84"/>
      <c r="BP37" s="118"/>
      <c r="BQ37" s="118"/>
      <c r="BR37" s="118"/>
      <c r="BS37" s="118"/>
      <c r="BT37" s="118"/>
      <c r="BU37" s="118"/>
      <c r="BV37" s="118"/>
      <c r="BW37" s="118"/>
      <c r="BX37" s="118"/>
    </row>
    <row r="38" spans="1:76" ht="21" customHeight="1">
      <c r="A38" s="113"/>
      <c r="B38" s="114"/>
      <c r="C38" s="115"/>
      <c r="D38" s="116"/>
      <c r="E38" s="117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4"/>
      <c r="BO38" s="84"/>
      <c r="BP38" s="118"/>
      <c r="BQ38" s="118"/>
      <c r="BR38" s="118"/>
      <c r="BS38" s="118"/>
      <c r="BT38" s="118"/>
      <c r="BU38" s="118"/>
      <c r="BV38" s="118"/>
      <c r="BW38" s="118"/>
      <c r="BX38" s="118"/>
    </row>
    <row r="39" spans="1:76" ht="21" customHeight="1">
      <c r="A39" s="113"/>
      <c r="B39" s="114"/>
      <c r="C39" s="115"/>
      <c r="D39" s="116"/>
      <c r="E39" s="117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4"/>
      <c r="BO39" s="84"/>
      <c r="BP39" s="118"/>
      <c r="BQ39" s="118"/>
      <c r="BR39" s="118"/>
      <c r="BS39" s="118"/>
      <c r="BT39" s="118"/>
      <c r="BU39" s="118"/>
      <c r="BV39" s="118"/>
      <c r="BW39" s="118"/>
      <c r="BX39" s="118"/>
    </row>
    <row r="40" spans="1:76" s="128" customFormat="1" ht="116.25" customHeight="1">
      <c r="A40" s="120"/>
      <c r="B40" s="121"/>
      <c r="C40" s="122"/>
      <c r="D40" s="123"/>
      <c r="E40" s="124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5"/>
      <c r="BK40" s="125"/>
      <c r="BL40" s="125"/>
      <c r="BM40" s="125"/>
      <c r="BN40" s="126"/>
      <c r="BO40" s="126"/>
      <c r="BP40" s="127"/>
      <c r="BQ40" s="127"/>
      <c r="BR40" s="127"/>
      <c r="BS40" s="127"/>
      <c r="BT40" s="127"/>
      <c r="BU40" s="127"/>
      <c r="BV40" s="127"/>
      <c r="BW40" s="127"/>
      <c r="BX40" s="127"/>
    </row>
    <row r="41" spans="1:76" ht="21" customHeight="1">
      <c r="A41" s="113"/>
      <c r="B41" s="114"/>
      <c r="C41" s="115"/>
      <c r="D41" s="116"/>
      <c r="E41" s="117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4"/>
      <c r="BO41" s="84"/>
      <c r="BP41" s="118"/>
      <c r="BQ41" s="118"/>
      <c r="BR41" s="118"/>
      <c r="BS41" s="118"/>
      <c r="BT41" s="118"/>
      <c r="BU41" s="118"/>
      <c r="BV41" s="118"/>
      <c r="BW41" s="118"/>
      <c r="BX41" s="118"/>
    </row>
    <row r="42" spans="1:76" ht="21" customHeight="1">
      <c r="A42" s="113"/>
      <c r="B42" s="114"/>
      <c r="C42" s="115"/>
      <c r="D42" s="116"/>
      <c r="E42" s="117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4"/>
      <c r="BO42" s="84"/>
      <c r="BP42" s="118"/>
      <c r="BQ42" s="118"/>
      <c r="BR42" s="118"/>
      <c r="BS42" s="118"/>
      <c r="BT42" s="118"/>
      <c r="BU42" s="118"/>
      <c r="BV42" s="118"/>
      <c r="BW42" s="118"/>
      <c r="BX42" s="118"/>
    </row>
    <row r="43" spans="1:76" ht="21" customHeight="1">
      <c r="A43" s="113"/>
      <c r="B43" s="114"/>
      <c r="C43" s="115"/>
      <c r="D43" s="116"/>
      <c r="E43" s="117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  <c r="BD43" s="83"/>
      <c r="BE43" s="83"/>
      <c r="BF43" s="83"/>
      <c r="BG43" s="83"/>
      <c r="BH43" s="83"/>
      <c r="BI43" s="83"/>
      <c r="BJ43" s="83"/>
      <c r="BK43" s="83"/>
      <c r="BL43" s="83"/>
      <c r="BM43" s="83"/>
      <c r="BN43" s="84"/>
      <c r="BO43" s="84"/>
      <c r="BP43" s="118"/>
      <c r="BQ43" s="118"/>
      <c r="BR43" s="118"/>
      <c r="BS43" s="118"/>
      <c r="BT43" s="118"/>
      <c r="BU43" s="118"/>
      <c r="BV43" s="118"/>
      <c r="BW43" s="118"/>
      <c r="BX43" s="118"/>
    </row>
    <row r="44" spans="1:76" ht="33" customHeight="1">
      <c r="A44" s="113"/>
      <c r="B44" s="114"/>
      <c r="C44" s="115"/>
      <c r="D44" s="116"/>
      <c r="E44" s="117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  <c r="BD44" s="83"/>
      <c r="BE44" s="83"/>
      <c r="BF44" s="83"/>
      <c r="BG44" s="83"/>
      <c r="BH44" s="83"/>
      <c r="BI44" s="83"/>
      <c r="BJ44" s="83"/>
      <c r="BK44" s="83"/>
      <c r="BL44" s="83"/>
      <c r="BM44" s="83"/>
      <c r="BN44" s="84"/>
      <c r="BO44" s="84"/>
      <c r="BP44" s="118"/>
      <c r="BQ44" s="118"/>
      <c r="BR44" s="118"/>
      <c r="BS44" s="118"/>
      <c r="BT44" s="118"/>
      <c r="BU44" s="118"/>
      <c r="BV44" s="118"/>
      <c r="BW44" s="118"/>
      <c r="BX44" s="118"/>
    </row>
    <row r="45" spans="1:76" ht="33" customHeight="1">
      <c r="A45" s="113"/>
      <c r="B45" s="114"/>
      <c r="C45" s="115"/>
      <c r="D45" s="116"/>
      <c r="E45" s="117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  <c r="BD45" s="83"/>
      <c r="BE45" s="83"/>
      <c r="BF45" s="83"/>
      <c r="BG45" s="83"/>
      <c r="BH45" s="83"/>
      <c r="BI45" s="83"/>
      <c r="BJ45" s="83"/>
      <c r="BK45" s="83"/>
      <c r="BL45" s="83"/>
      <c r="BM45" s="83"/>
      <c r="BN45" s="84"/>
      <c r="BO45" s="84"/>
      <c r="BP45" s="118"/>
      <c r="BQ45" s="118"/>
      <c r="BR45" s="118"/>
      <c r="BS45" s="118"/>
      <c r="BT45" s="118"/>
      <c r="BU45" s="118"/>
      <c r="BV45" s="118"/>
      <c r="BW45" s="118"/>
      <c r="BX45" s="118"/>
    </row>
    <row r="46" spans="1:76" ht="21" customHeight="1"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4"/>
      <c r="BO46" s="84"/>
      <c r="BP46" s="129"/>
      <c r="BQ46" s="129"/>
      <c r="BR46" s="129"/>
      <c r="BS46" s="129"/>
      <c r="BT46" s="129"/>
      <c r="BU46" s="129"/>
      <c r="BV46" s="129"/>
      <c r="BW46" s="129"/>
      <c r="BX46" s="129"/>
    </row>
    <row r="47" spans="1:76" ht="21" customHeight="1"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83"/>
      <c r="BG47" s="83"/>
      <c r="BH47" s="83"/>
      <c r="BI47" s="83"/>
      <c r="BJ47" s="83"/>
      <c r="BK47" s="83"/>
      <c r="BL47" s="83"/>
      <c r="BM47" s="83"/>
      <c r="BN47" s="84"/>
      <c r="BO47" s="84"/>
      <c r="BP47" s="129"/>
      <c r="BQ47" s="129"/>
      <c r="BR47" s="129"/>
      <c r="BS47" s="129"/>
      <c r="BT47" s="129"/>
      <c r="BU47" s="129"/>
      <c r="BV47" s="129"/>
      <c r="BW47" s="129"/>
      <c r="BX47" s="129"/>
    </row>
    <row r="48" spans="1:76" ht="21" customHeight="1"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  <c r="AR48" s="83"/>
      <c r="AS48" s="83"/>
      <c r="AT48" s="83"/>
      <c r="AU48" s="83"/>
      <c r="AV48" s="83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4"/>
      <c r="BO48" s="84"/>
      <c r="BP48" s="129"/>
      <c r="BQ48" s="129"/>
      <c r="BR48" s="129"/>
      <c r="BS48" s="129"/>
      <c r="BT48" s="129"/>
      <c r="BU48" s="129"/>
      <c r="BV48" s="129"/>
      <c r="BW48" s="129"/>
      <c r="BX48" s="129"/>
    </row>
    <row r="49" spans="6:76" ht="21" customHeight="1"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3"/>
      <c r="AR49" s="83"/>
      <c r="AS49" s="83"/>
      <c r="AT49" s="83"/>
      <c r="AU49" s="83"/>
      <c r="AV49" s="83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4"/>
      <c r="BO49" s="84"/>
      <c r="BP49" s="129"/>
      <c r="BQ49" s="129"/>
      <c r="BR49" s="129"/>
      <c r="BS49" s="129"/>
      <c r="BT49" s="129"/>
      <c r="BU49" s="129"/>
      <c r="BV49" s="129"/>
      <c r="BW49" s="129"/>
      <c r="BX49" s="129"/>
    </row>
    <row r="50" spans="6:76" ht="21" customHeight="1"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  <c r="AR50" s="83"/>
      <c r="AS50" s="83"/>
      <c r="AT50" s="83"/>
      <c r="AU50" s="83"/>
      <c r="AV50" s="83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4"/>
      <c r="BO50" s="84"/>
      <c r="BP50" s="129"/>
      <c r="BQ50" s="129"/>
      <c r="BR50" s="129"/>
      <c r="BS50" s="129"/>
      <c r="BT50" s="129"/>
      <c r="BU50" s="129"/>
      <c r="BV50" s="129"/>
      <c r="BW50" s="129"/>
      <c r="BX50" s="129"/>
    </row>
    <row r="51" spans="6:76" ht="21" customHeight="1"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  <c r="AL51" s="83"/>
      <c r="AM51" s="83"/>
      <c r="AN51" s="83"/>
      <c r="AO51" s="83"/>
      <c r="AP51" s="83"/>
      <c r="AQ51" s="83"/>
      <c r="AR51" s="83"/>
      <c r="AS51" s="83"/>
      <c r="AT51" s="83"/>
      <c r="AU51" s="83"/>
      <c r="AV51" s="83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4"/>
      <c r="BO51" s="84"/>
      <c r="BP51" s="129"/>
      <c r="BQ51" s="129"/>
      <c r="BR51" s="129"/>
      <c r="BS51" s="129"/>
      <c r="BT51" s="129"/>
      <c r="BU51" s="129"/>
      <c r="BV51" s="129"/>
      <c r="BW51" s="129"/>
      <c r="BX51" s="129"/>
    </row>
    <row r="52" spans="6:76" ht="21" customHeight="1"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  <c r="AR52" s="83"/>
      <c r="AS52" s="83"/>
      <c r="AT52" s="83"/>
      <c r="AU52" s="83"/>
      <c r="AV52" s="83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4"/>
      <c r="BO52" s="84"/>
      <c r="BP52" s="129"/>
      <c r="BQ52" s="129"/>
      <c r="BR52" s="129"/>
      <c r="BS52" s="129"/>
      <c r="BT52" s="129"/>
      <c r="BU52" s="129"/>
      <c r="BV52" s="129"/>
      <c r="BW52" s="129"/>
      <c r="BX52" s="129"/>
    </row>
    <row r="53" spans="6:76" ht="21" customHeight="1"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  <c r="AL53" s="83"/>
      <c r="AM53" s="83"/>
      <c r="AN53" s="83"/>
      <c r="AO53" s="83"/>
      <c r="AP53" s="83"/>
      <c r="AQ53" s="83"/>
      <c r="AR53" s="83"/>
      <c r="AS53" s="83"/>
      <c r="AT53" s="83"/>
      <c r="AU53" s="83"/>
      <c r="AV53" s="83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4"/>
      <c r="BO53" s="84"/>
      <c r="BP53" s="129"/>
      <c r="BQ53" s="129"/>
      <c r="BR53" s="129"/>
      <c r="BS53" s="129"/>
      <c r="BT53" s="129"/>
      <c r="BU53" s="129"/>
      <c r="BV53" s="129"/>
      <c r="BW53" s="129"/>
      <c r="BX53" s="129"/>
    </row>
    <row r="54" spans="6:76" ht="21" customHeight="1"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4"/>
      <c r="BO54" s="84"/>
      <c r="BP54" s="129"/>
      <c r="BQ54" s="129"/>
      <c r="BR54" s="129"/>
      <c r="BS54" s="129"/>
      <c r="BT54" s="129"/>
      <c r="BU54" s="129"/>
      <c r="BV54" s="129"/>
      <c r="BW54" s="129"/>
      <c r="BX54" s="129"/>
    </row>
    <row r="55" spans="6:76" ht="21" customHeight="1"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4"/>
      <c r="BO55" s="84"/>
      <c r="BP55" s="129"/>
      <c r="BQ55" s="129"/>
      <c r="BR55" s="129"/>
      <c r="BS55" s="129"/>
      <c r="BT55" s="129"/>
      <c r="BU55" s="129"/>
      <c r="BV55" s="129"/>
      <c r="BW55" s="129"/>
      <c r="BX55" s="129"/>
    </row>
    <row r="56" spans="6:76" ht="21" customHeight="1"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4"/>
      <c r="BO56" s="84"/>
      <c r="BP56" s="129"/>
      <c r="BQ56" s="129"/>
      <c r="BR56" s="129"/>
      <c r="BS56" s="129"/>
      <c r="BT56" s="129"/>
      <c r="BU56" s="129"/>
      <c r="BV56" s="129"/>
      <c r="BW56" s="129"/>
      <c r="BX56" s="129"/>
    </row>
    <row r="57" spans="6:76" ht="21" customHeight="1"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4"/>
      <c r="BO57" s="84"/>
      <c r="BP57" s="129"/>
      <c r="BQ57" s="129"/>
      <c r="BR57" s="129"/>
      <c r="BS57" s="129"/>
      <c r="BT57" s="129"/>
      <c r="BU57" s="129"/>
      <c r="BV57" s="129"/>
      <c r="BW57" s="129"/>
      <c r="BX57" s="129"/>
    </row>
    <row r="58" spans="6:76" ht="21" customHeight="1"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4"/>
      <c r="BO58" s="84"/>
      <c r="BP58" s="129"/>
      <c r="BQ58" s="129"/>
      <c r="BR58" s="129"/>
      <c r="BS58" s="129"/>
      <c r="BT58" s="129"/>
      <c r="BU58" s="129"/>
      <c r="BV58" s="129"/>
      <c r="BW58" s="129"/>
      <c r="BX58" s="129"/>
    </row>
    <row r="59" spans="6:76" ht="21" customHeight="1"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4"/>
      <c r="BO59" s="84"/>
      <c r="BP59" s="129"/>
      <c r="BQ59" s="129"/>
      <c r="BR59" s="129"/>
      <c r="BS59" s="129"/>
      <c r="BT59" s="129"/>
      <c r="BU59" s="129"/>
      <c r="BV59" s="129"/>
      <c r="BW59" s="129"/>
      <c r="BX59" s="129"/>
    </row>
    <row r="60" spans="6:76" ht="21" customHeight="1"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4"/>
      <c r="BO60" s="84"/>
      <c r="BP60" s="129"/>
      <c r="BQ60" s="129"/>
      <c r="BR60" s="129"/>
      <c r="BS60" s="129"/>
      <c r="BT60" s="129"/>
      <c r="BU60" s="129"/>
      <c r="BV60" s="129"/>
      <c r="BW60" s="129"/>
      <c r="BX60" s="129"/>
    </row>
    <row r="61" spans="6:76" ht="21" customHeight="1"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4"/>
      <c r="BO61" s="84"/>
      <c r="BP61" s="129"/>
      <c r="BQ61" s="129"/>
      <c r="BR61" s="129"/>
      <c r="BS61" s="129"/>
      <c r="BT61" s="129"/>
      <c r="BU61" s="129"/>
      <c r="BV61" s="129"/>
      <c r="BW61" s="129"/>
      <c r="BX61" s="129"/>
    </row>
    <row r="62" spans="6:76" ht="21" customHeight="1"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4"/>
      <c r="BO62" s="84"/>
      <c r="BP62" s="129"/>
      <c r="BQ62" s="129"/>
      <c r="BR62" s="129"/>
      <c r="BS62" s="129"/>
      <c r="BT62" s="129"/>
      <c r="BU62" s="129"/>
      <c r="BV62" s="129"/>
      <c r="BW62" s="129"/>
      <c r="BX62" s="129"/>
    </row>
    <row r="63" spans="6:76" ht="21" customHeight="1"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4"/>
      <c r="BO63" s="84"/>
      <c r="BP63" s="129"/>
      <c r="BQ63" s="129"/>
      <c r="BR63" s="129"/>
      <c r="BS63" s="129"/>
      <c r="BT63" s="129"/>
      <c r="BU63" s="129"/>
      <c r="BV63" s="129"/>
      <c r="BW63" s="129"/>
      <c r="BX63" s="129"/>
    </row>
    <row r="64" spans="6:76" ht="21" customHeight="1"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83"/>
      <c r="BE64" s="83"/>
      <c r="BF64" s="83"/>
      <c r="BG64" s="83"/>
      <c r="BH64" s="83"/>
      <c r="BI64" s="83"/>
      <c r="BJ64" s="83"/>
      <c r="BK64" s="83"/>
      <c r="BL64" s="83"/>
      <c r="BM64" s="83"/>
      <c r="BN64" s="84"/>
      <c r="BO64" s="84"/>
      <c r="BP64" s="129"/>
      <c r="BQ64" s="129"/>
      <c r="BR64" s="129"/>
      <c r="BS64" s="129"/>
      <c r="BT64" s="129"/>
      <c r="BU64" s="129"/>
      <c r="BV64" s="129"/>
      <c r="BW64" s="129"/>
      <c r="BX64" s="129"/>
    </row>
    <row r="65" spans="6:76" ht="21" customHeight="1"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  <c r="AL65" s="83"/>
      <c r="AM65" s="83"/>
      <c r="AN65" s="83"/>
      <c r="AO65" s="83"/>
      <c r="AP65" s="83"/>
      <c r="AQ65" s="83"/>
      <c r="AR65" s="83"/>
      <c r="AS65" s="83"/>
      <c r="AT65" s="83"/>
      <c r="AU65" s="83"/>
      <c r="AV65" s="83"/>
      <c r="AW65" s="83"/>
      <c r="AX65" s="83"/>
      <c r="AY65" s="83"/>
      <c r="AZ65" s="83"/>
      <c r="BA65" s="83"/>
      <c r="BB65" s="83"/>
      <c r="BC65" s="83"/>
      <c r="BD65" s="83"/>
      <c r="BE65" s="83"/>
      <c r="BF65" s="83"/>
      <c r="BG65" s="83"/>
      <c r="BH65" s="83"/>
      <c r="BI65" s="83"/>
      <c r="BJ65" s="83"/>
      <c r="BK65" s="83"/>
      <c r="BL65" s="83"/>
      <c r="BM65" s="83"/>
      <c r="BN65" s="84"/>
      <c r="BO65" s="84"/>
      <c r="BP65" s="129"/>
      <c r="BQ65" s="129"/>
      <c r="BR65" s="129"/>
      <c r="BS65" s="129"/>
      <c r="BT65" s="129"/>
      <c r="BU65" s="129"/>
      <c r="BV65" s="129"/>
      <c r="BW65" s="129"/>
      <c r="BX65" s="129"/>
    </row>
    <row r="66" spans="6:76" ht="21" customHeight="1"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  <c r="BD66" s="83"/>
      <c r="BE66" s="83"/>
      <c r="BF66" s="83"/>
      <c r="BG66" s="83"/>
      <c r="BH66" s="83"/>
      <c r="BI66" s="83"/>
      <c r="BJ66" s="83"/>
      <c r="BK66" s="83"/>
      <c r="BL66" s="83"/>
      <c r="BM66" s="83"/>
      <c r="BN66" s="84"/>
      <c r="BO66" s="84"/>
      <c r="BP66" s="129"/>
      <c r="BQ66" s="129"/>
      <c r="BR66" s="129"/>
      <c r="BS66" s="129"/>
      <c r="BT66" s="129"/>
      <c r="BU66" s="129"/>
      <c r="BV66" s="129"/>
      <c r="BW66" s="129"/>
      <c r="BX66" s="129"/>
    </row>
    <row r="67" spans="6:76" ht="21" customHeight="1"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  <c r="BD67" s="83"/>
      <c r="BE67" s="83"/>
      <c r="BF67" s="83"/>
      <c r="BG67" s="83"/>
      <c r="BH67" s="83"/>
      <c r="BI67" s="83"/>
      <c r="BJ67" s="83"/>
      <c r="BK67" s="83"/>
      <c r="BL67" s="83"/>
      <c r="BM67" s="83"/>
      <c r="BN67" s="84"/>
      <c r="BO67" s="84"/>
      <c r="BP67" s="129"/>
      <c r="BQ67" s="129"/>
      <c r="BR67" s="129"/>
      <c r="BS67" s="129"/>
      <c r="BT67" s="129"/>
      <c r="BU67" s="129"/>
      <c r="BV67" s="129"/>
      <c r="BW67" s="129"/>
      <c r="BX67" s="129"/>
    </row>
    <row r="68" spans="6:76" ht="21" customHeight="1"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  <c r="BD68" s="83"/>
      <c r="BE68" s="83"/>
      <c r="BF68" s="83"/>
      <c r="BG68" s="83"/>
      <c r="BH68" s="83"/>
      <c r="BI68" s="83"/>
      <c r="BJ68" s="83"/>
      <c r="BK68" s="83"/>
      <c r="BL68" s="83"/>
      <c r="BM68" s="83"/>
      <c r="BN68" s="84"/>
      <c r="BO68" s="84"/>
      <c r="BP68" s="129"/>
      <c r="BQ68" s="129"/>
      <c r="BR68" s="129"/>
      <c r="BS68" s="129"/>
      <c r="BT68" s="129"/>
      <c r="BU68" s="129"/>
      <c r="BV68" s="129"/>
      <c r="BW68" s="129"/>
      <c r="BX68" s="129"/>
    </row>
    <row r="69" spans="6:76" ht="21" customHeight="1"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  <c r="BD69" s="83"/>
      <c r="BE69" s="83"/>
      <c r="BF69" s="83"/>
      <c r="BG69" s="83"/>
      <c r="BH69" s="83"/>
      <c r="BI69" s="83"/>
      <c r="BJ69" s="83"/>
      <c r="BK69" s="83"/>
      <c r="BL69" s="83"/>
      <c r="BM69" s="83"/>
      <c r="BN69" s="84"/>
      <c r="BO69" s="84"/>
      <c r="BP69" s="129"/>
      <c r="BQ69" s="129"/>
      <c r="BR69" s="129"/>
      <c r="BS69" s="129"/>
      <c r="BT69" s="129"/>
      <c r="BU69" s="129"/>
      <c r="BV69" s="129"/>
      <c r="BW69" s="129"/>
      <c r="BX69" s="129"/>
    </row>
    <row r="70" spans="6:76" ht="21" customHeight="1"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4"/>
      <c r="BO70" s="84"/>
      <c r="BP70" s="129"/>
      <c r="BQ70" s="129"/>
      <c r="BR70" s="129"/>
      <c r="BS70" s="129"/>
      <c r="BT70" s="129"/>
      <c r="BU70" s="129"/>
      <c r="BV70" s="129"/>
      <c r="BW70" s="129"/>
      <c r="BX70" s="129"/>
    </row>
    <row r="71" spans="6:76" ht="21" customHeight="1"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  <c r="BD71" s="83"/>
      <c r="BE71" s="83"/>
      <c r="BF71" s="83"/>
      <c r="BG71" s="83"/>
      <c r="BH71" s="83"/>
      <c r="BI71" s="83"/>
      <c r="BJ71" s="83"/>
      <c r="BK71" s="83"/>
      <c r="BL71" s="83"/>
      <c r="BM71" s="83"/>
      <c r="BN71" s="84"/>
      <c r="BO71" s="84"/>
      <c r="BP71" s="129"/>
      <c r="BQ71" s="129"/>
      <c r="BR71" s="129"/>
      <c r="BS71" s="129"/>
      <c r="BT71" s="129"/>
      <c r="BU71" s="129"/>
      <c r="BV71" s="129"/>
      <c r="BW71" s="129"/>
      <c r="BX71" s="129"/>
    </row>
    <row r="72" spans="6:76" ht="21" customHeight="1"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83"/>
      <c r="AM72" s="83"/>
      <c r="AN72" s="83"/>
      <c r="AO72" s="83"/>
      <c r="AP72" s="83"/>
      <c r="AQ72" s="83"/>
      <c r="AR72" s="83"/>
      <c r="AS72" s="83"/>
      <c r="AT72" s="83"/>
      <c r="AU72" s="83"/>
      <c r="AV72" s="83"/>
      <c r="AW72" s="83"/>
      <c r="AX72" s="83"/>
      <c r="AY72" s="83"/>
      <c r="AZ72" s="83"/>
      <c r="BA72" s="83"/>
      <c r="BB72" s="83"/>
      <c r="BC72" s="83"/>
      <c r="BD72" s="83"/>
      <c r="BE72" s="83"/>
      <c r="BF72" s="83"/>
      <c r="BG72" s="83"/>
      <c r="BH72" s="83"/>
      <c r="BI72" s="83"/>
      <c r="BJ72" s="83"/>
      <c r="BK72" s="83"/>
      <c r="BL72" s="83"/>
      <c r="BM72" s="83"/>
      <c r="BN72" s="84"/>
      <c r="BO72" s="84"/>
      <c r="BP72" s="129"/>
      <c r="BQ72" s="129"/>
      <c r="BR72" s="129"/>
      <c r="BS72" s="129"/>
      <c r="BT72" s="129"/>
      <c r="BU72" s="129"/>
      <c r="BV72" s="129"/>
      <c r="BW72" s="129"/>
      <c r="BX72" s="129"/>
    </row>
    <row r="73" spans="6:76" ht="21" customHeight="1"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  <c r="AI73" s="83"/>
      <c r="AJ73" s="83"/>
      <c r="AK73" s="83"/>
      <c r="AL73" s="83"/>
      <c r="AM73" s="83"/>
      <c r="AN73" s="83"/>
      <c r="AO73" s="83"/>
      <c r="AP73" s="83"/>
      <c r="AQ73" s="83"/>
      <c r="AR73" s="83"/>
      <c r="AS73" s="83"/>
      <c r="AT73" s="83"/>
      <c r="AU73" s="83"/>
      <c r="AV73" s="83"/>
      <c r="AW73" s="83"/>
      <c r="AX73" s="83"/>
      <c r="AY73" s="83"/>
      <c r="AZ73" s="83"/>
      <c r="BA73" s="83"/>
      <c r="BB73" s="83"/>
      <c r="BC73" s="83"/>
      <c r="BD73" s="83"/>
      <c r="BE73" s="83"/>
      <c r="BF73" s="83"/>
      <c r="BG73" s="83"/>
      <c r="BH73" s="83"/>
      <c r="BI73" s="83"/>
      <c r="BJ73" s="83"/>
      <c r="BK73" s="83"/>
      <c r="BL73" s="83"/>
      <c r="BM73" s="83"/>
      <c r="BN73" s="84"/>
      <c r="BO73" s="84"/>
      <c r="BP73" s="129"/>
      <c r="BQ73" s="129"/>
      <c r="BR73" s="129"/>
      <c r="BS73" s="129"/>
      <c r="BT73" s="129"/>
      <c r="BU73" s="129"/>
      <c r="BV73" s="129"/>
      <c r="BW73" s="129"/>
      <c r="BX73" s="129"/>
    </row>
    <row r="74" spans="6:76" ht="21" customHeight="1"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83"/>
      <c r="AM74" s="83"/>
      <c r="AN74" s="83"/>
      <c r="AO74" s="83"/>
      <c r="AP74" s="83"/>
      <c r="AQ74" s="83"/>
      <c r="AR74" s="83"/>
      <c r="AS74" s="83"/>
      <c r="AT74" s="83"/>
      <c r="AU74" s="83"/>
      <c r="AV74" s="83"/>
      <c r="AW74" s="83"/>
      <c r="AX74" s="83"/>
      <c r="AY74" s="83"/>
      <c r="AZ74" s="83"/>
      <c r="BA74" s="83"/>
      <c r="BB74" s="83"/>
      <c r="BC74" s="83"/>
      <c r="BD74" s="83"/>
      <c r="BE74" s="83"/>
      <c r="BF74" s="83"/>
      <c r="BG74" s="83"/>
      <c r="BH74" s="83"/>
      <c r="BI74" s="83"/>
      <c r="BJ74" s="83"/>
      <c r="BK74" s="83"/>
      <c r="BL74" s="83"/>
      <c r="BM74" s="83"/>
      <c r="BN74" s="84"/>
      <c r="BO74" s="84"/>
      <c r="BP74" s="129"/>
      <c r="BQ74" s="129"/>
      <c r="BR74" s="129"/>
      <c r="BS74" s="129"/>
      <c r="BT74" s="129"/>
      <c r="BU74" s="129"/>
      <c r="BV74" s="129"/>
      <c r="BW74" s="129"/>
      <c r="BX74" s="129"/>
    </row>
    <row r="75" spans="6:76" ht="21" customHeight="1"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83"/>
      <c r="AM75" s="83"/>
      <c r="AN75" s="83"/>
      <c r="AO75" s="83"/>
      <c r="AP75" s="83"/>
      <c r="AQ75" s="83"/>
      <c r="AR75" s="83"/>
      <c r="AS75" s="83"/>
      <c r="AT75" s="83"/>
      <c r="AU75" s="83"/>
      <c r="AV75" s="83"/>
      <c r="AW75" s="83"/>
      <c r="AX75" s="83"/>
      <c r="AY75" s="83"/>
      <c r="AZ75" s="83"/>
      <c r="BA75" s="83"/>
      <c r="BB75" s="83"/>
      <c r="BC75" s="83"/>
      <c r="BD75" s="83"/>
      <c r="BE75" s="83"/>
      <c r="BF75" s="83"/>
      <c r="BG75" s="83"/>
      <c r="BH75" s="83"/>
      <c r="BI75" s="83"/>
      <c r="BJ75" s="83"/>
      <c r="BK75" s="83"/>
      <c r="BL75" s="83"/>
      <c r="BM75" s="83"/>
      <c r="BN75" s="84"/>
      <c r="BO75" s="84"/>
      <c r="BP75" s="129"/>
      <c r="BQ75" s="129"/>
      <c r="BR75" s="129"/>
      <c r="BS75" s="129"/>
      <c r="BT75" s="129"/>
      <c r="BU75" s="129"/>
      <c r="BV75" s="129"/>
      <c r="BW75" s="129"/>
      <c r="BX75" s="129"/>
    </row>
    <row r="76" spans="6:76" ht="21" customHeight="1"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83"/>
      <c r="AM76" s="83"/>
      <c r="AN76" s="83"/>
      <c r="AO76" s="83"/>
      <c r="AP76" s="83"/>
      <c r="AQ76" s="83"/>
      <c r="AR76" s="83"/>
      <c r="AS76" s="83"/>
      <c r="AT76" s="83"/>
      <c r="AU76" s="83"/>
      <c r="AV76" s="83"/>
      <c r="AW76" s="83"/>
      <c r="AX76" s="83"/>
      <c r="AY76" s="83"/>
      <c r="AZ76" s="83"/>
      <c r="BA76" s="83"/>
      <c r="BB76" s="83"/>
      <c r="BC76" s="83"/>
      <c r="BD76" s="83"/>
      <c r="BE76" s="83"/>
      <c r="BF76" s="83"/>
      <c r="BG76" s="83"/>
      <c r="BH76" s="83"/>
      <c r="BI76" s="83"/>
      <c r="BJ76" s="83"/>
      <c r="BK76" s="83"/>
      <c r="BL76" s="83"/>
      <c r="BM76" s="83"/>
      <c r="BN76" s="84"/>
      <c r="BO76" s="84"/>
      <c r="BP76" s="129"/>
      <c r="BQ76" s="129"/>
      <c r="BR76" s="129"/>
      <c r="BS76" s="129"/>
      <c r="BT76" s="129"/>
      <c r="BU76" s="129"/>
      <c r="BV76" s="129"/>
      <c r="BW76" s="129"/>
      <c r="BX76" s="129"/>
    </row>
    <row r="77" spans="6:76" ht="21" customHeight="1"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  <c r="AI77" s="83"/>
      <c r="AJ77" s="83"/>
      <c r="AK77" s="83"/>
      <c r="AL77" s="83"/>
      <c r="AM77" s="83"/>
      <c r="AN77" s="83"/>
      <c r="AO77" s="83"/>
      <c r="AP77" s="83"/>
      <c r="AQ77" s="83"/>
      <c r="AR77" s="83"/>
      <c r="AS77" s="83"/>
      <c r="AT77" s="83"/>
      <c r="AU77" s="83"/>
      <c r="AV77" s="83"/>
      <c r="AW77" s="83"/>
      <c r="AX77" s="83"/>
      <c r="AY77" s="83"/>
      <c r="AZ77" s="83"/>
      <c r="BA77" s="83"/>
      <c r="BB77" s="83"/>
      <c r="BC77" s="83"/>
      <c r="BD77" s="83"/>
      <c r="BE77" s="83"/>
      <c r="BF77" s="83"/>
      <c r="BG77" s="83"/>
      <c r="BH77" s="83"/>
      <c r="BI77" s="83"/>
      <c r="BJ77" s="83"/>
      <c r="BK77" s="83"/>
      <c r="BL77" s="83"/>
      <c r="BM77" s="83"/>
      <c r="BN77" s="84"/>
      <c r="BO77" s="84"/>
      <c r="BP77" s="129"/>
      <c r="BQ77" s="129"/>
      <c r="BR77" s="129"/>
      <c r="BS77" s="129"/>
      <c r="BT77" s="129"/>
      <c r="BU77" s="129"/>
      <c r="BV77" s="129"/>
      <c r="BW77" s="129"/>
      <c r="BX77" s="129"/>
    </row>
    <row r="78" spans="6:76" ht="21" customHeight="1"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4"/>
      <c r="BO78" s="84"/>
      <c r="BP78" s="129"/>
      <c r="BQ78" s="129"/>
      <c r="BR78" s="129"/>
      <c r="BS78" s="129"/>
      <c r="BT78" s="129"/>
      <c r="BU78" s="129"/>
      <c r="BV78" s="129"/>
      <c r="BW78" s="129"/>
      <c r="BX78" s="129"/>
    </row>
    <row r="79" spans="6:76" ht="21" customHeight="1"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  <c r="AI79" s="83"/>
      <c r="AJ79" s="83"/>
      <c r="AK79" s="83"/>
      <c r="AL79" s="83"/>
      <c r="AM79" s="83"/>
      <c r="AN79" s="83"/>
      <c r="AO79" s="83"/>
      <c r="AP79" s="83"/>
      <c r="AQ79" s="83"/>
      <c r="AR79" s="83"/>
      <c r="AS79" s="83"/>
      <c r="AT79" s="83"/>
      <c r="AU79" s="83"/>
      <c r="AV79" s="83"/>
      <c r="AW79" s="83"/>
      <c r="AX79" s="83"/>
      <c r="AY79" s="83"/>
      <c r="AZ79" s="83"/>
      <c r="BA79" s="83"/>
      <c r="BB79" s="83"/>
      <c r="BC79" s="83"/>
      <c r="BD79" s="83"/>
      <c r="BE79" s="83"/>
      <c r="BF79" s="83"/>
      <c r="BG79" s="83"/>
      <c r="BH79" s="83"/>
      <c r="BI79" s="83"/>
      <c r="BJ79" s="83"/>
      <c r="BK79" s="83"/>
      <c r="BL79" s="83"/>
      <c r="BM79" s="83"/>
      <c r="BN79" s="84"/>
      <c r="BO79" s="84"/>
      <c r="BP79" s="129"/>
      <c r="BQ79" s="129"/>
      <c r="BR79" s="129"/>
      <c r="BS79" s="129"/>
      <c r="BT79" s="129"/>
      <c r="BU79" s="129"/>
      <c r="BV79" s="129"/>
      <c r="BW79" s="129"/>
      <c r="BX79" s="129"/>
    </row>
    <row r="80" spans="6:76" ht="21" customHeight="1"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83"/>
      <c r="AM80" s="83"/>
      <c r="AN80" s="83"/>
      <c r="AO80" s="83"/>
      <c r="AP80" s="83"/>
      <c r="AQ80" s="83"/>
      <c r="AR80" s="83"/>
      <c r="AS80" s="83"/>
      <c r="AT80" s="83"/>
      <c r="AU80" s="83"/>
      <c r="AV80" s="83"/>
      <c r="AW80" s="83"/>
      <c r="AX80" s="83"/>
      <c r="AY80" s="83"/>
      <c r="AZ80" s="83"/>
      <c r="BA80" s="83"/>
      <c r="BB80" s="83"/>
      <c r="BC80" s="83"/>
      <c r="BD80" s="83"/>
      <c r="BE80" s="83"/>
      <c r="BF80" s="83"/>
      <c r="BG80" s="83"/>
      <c r="BH80" s="83"/>
      <c r="BI80" s="83"/>
      <c r="BJ80" s="83"/>
      <c r="BK80" s="83"/>
      <c r="BL80" s="83"/>
      <c r="BM80" s="83"/>
      <c r="BN80" s="84"/>
      <c r="BO80" s="84"/>
      <c r="BP80" s="129"/>
      <c r="BQ80" s="129"/>
      <c r="BR80" s="129"/>
      <c r="BS80" s="129"/>
      <c r="BT80" s="129"/>
      <c r="BU80" s="129"/>
      <c r="BV80" s="129"/>
      <c r="BW80" s="129"/>
      <c r="BX80" s="129"/>
    </row>
    <row r="81" spans="6:76" ht="21" customHeight="1"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83"/>
      <c r="AY81" s="83"/>
      <c r="AZ81" s="83"/>
      <c r="BA81" s="83"/>
      <c r="BB81" s="83"/>
      <c r="BC81" s="83"/>
      <c r="BD81" s="83"/>
      <c r="BE81" s="83"/>
      <c r="BF81" s="83"/>
      <c r="BG81" s="83"/>
      <c r="BH81" s="83"/>
      <c r="BI81" s="83"/>
      <c r="BJ81" s="83"/>
      <c r="BK81" s="83"/>
      <c r="BL81" s="83"/>
      <c r="BM81" s="83"/>
      <c r="BN81" s="84"/>
      <c r="BO81" s="84"/>
      <c r="BP81" s="129"/>
      <c r="BQ81" s="129"/>
      <c r="BR81" s="129"/>
      <c r="BS81" s="129"/>
      <c r="BT81" s="129"/>
      <c r="BU81" s="129"/>
      <c r="BV81" s="129"/>
      <c r="BW81" s="129"/>
      <c r="BX81" s="129"/>
    </row>
    <row r="82" spans="6:76" ht="21" customHeight="1"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83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83"/>
      <c r="AY82" s="83"/>
      <c r="AZ82" s="83"/>
      <c r="BA82" s="83"/>
      <c r="BB82" s="83"/>
      <c r="BC82" s="83"/>
      <c r="BD82" s="83"/>
      <c r="BE82" s="83"/>
      <c r="BF82" s="83"/>
      <c r="BG82" s="83"/>
      <c r="BH82" s="83"/>
      <c r="BI82" s="83"/>
      <c r="BJ82" s="83"/>
      <c r="BK82" s="83"/>
      <c r="BL82" s="83"/>
      <c r="BM82" s="83"/>
      <c r="BN82" s="84"/>
      <c r="BO82" s="84"/>
      <c r="BP82" s="129"/>
      <c r="BQ82" s="129"/>
      <c r="BR82" s="129"/>
      <c r="BS82" s="129"/>
      <c r="BT82" s="129"/>
      <c r="BU82" s="129"/>
      <c r="BV82" s="129"/>
      <c r="BW82" s="129"/>
      <c r="BX82" s="129"/>
    </row>
    <row r="83" spans="6:76" ht="21" customHeight="1"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3"/>
      <c r="AN83" s="83"/>
      <c r="AO83" s="83"/>
      <c r="AP83" s="83"/>
      <c r="AQ83" s="83"/>
      <c r="AR83" s="83"/>
      <c r="AS83" s="83"/>
      <c r="AT83" s="83"/>
      <c r="AU83" s="83"/>
      <c r="AV83" s="83"/>
      <c r="AW83" s="83"/>
      <c r="AX83" s="83"/>
      <c r="AY83" s="83"/>
      <c r="AZ83" s="83"/>
      <c r="BA83" s="83"/>
      <c r="BB83" s="83"/>
      <c r="BC83" s="83"/>
      <c r="BD83" s="83"/>
      <c r="BE83" s="83"/>
      <c r="BF83" s="83"/>
      <c r="BG83" s="83"/>
      <c r="BH83" s="83"/>
      <c r="BI83" s="83"/>
      <c r="BJ83" s="83"/>
      <c r="BK83" s="83"/>
      <c r="BL83" s="83"/>
      <c r="BM83" s="83"/>
      <c r="BN83" s="84"/>
      <c r="BO83" s="84"/>
      <c r="BP83" s="129"/>
      <c r="BQ83" s="129"/>
      <c r="BR83" s="129"/>
      <c r="BS83" s="129"/>
      <c r="BT83" s="129"/>
      <c r="BU83" s="129"/>
      <c r="BV83" s="129"/>
      <c r="BW83" s="129"/>
      <c r="BX83" s="129"/>
    </row>
    <row r="84" spans="6:76" ht="21" customHeight="1"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3"/>
      <c r="AJ84" s="83"/>
      <c r="AK84" s="83"/>
      <c r="AL84" s="83"/>
      <c r="AM84" s="83"/>
      <c r="AN84" s="83"/>
      <c r="AO84" s="83"/>
      <c r="AP84" s="83"/>
      <c r="AQ84" s="83"/>
      <c r="AR84" s="83"/>
      <c r="AS84" s="83"/>
      <c r="AT84" s="83"/>
      <c r="AU84" s="83"/>
      <c r="AV84" s="83"/>
      <c r="AW84" s="83"/>
      <c r="AX84" s="83"/>
      <c r="AY84" s="83"/>
      <c r="AZ84" s="83"/>
      <c r="BA84" s="83"/>
      <c r="BB84" s="83"/>
      <c r="BC84" s="83"/>
      <c r="BD84" s="83"/>
      <c r="BE84" s="83"/>
      <c r="BF84" s="83"/>
      <c r="BG84" s="83"/>
      <c r="BH84" s="83"/>
      <c r="BI84" s="83"/>
      <c r="BJ84" s="83"/>
      <c r="BK84" s="83"/>
      <c r="BL84" s="83"/>
      <c r="BM84" s="83"/>
      <c r="BN84" s="84"/>
      <c r="BO84" s="84"/>
      <c r="BP84" s="129"/>
      <c r="BQ84" s="129"/>
      <c r="BR84" s="129"/>
      <c r="BS84" s="129"/>
      <c r="BT84" s="129"/>
      <c r="BU84" s="129"/>
      <c r="BV84" s="129"/>
      <c r="BW84" s="129"/>
      <c r="BX84" s="129"/>
    </row>
    <row r="85" spans="6:76" ht="21" customHeight="1"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  <c r="BD85" s="83"/>
      <c r="BE85" s="83"/>
      <c r="BF85" s="83"/>
      <c r="BG85" s="83"/>
      <c r="BH85" s="83"/>
      <c r="BI85" s="83"/>
      <c r="BJ85" s="83"/>
      <c r="BK85" s="83"/>
      <c r="BL85" s="83"/>
      <c r="BM85" s="83"/>
      <c r="BN85" s="84"/>
      <c r="BO85" s="84"/>
      <c r="BP85" s="129"/>
      <c r="BQ85" s="129"/>
      <c r="BR85" s="129"/>
      <c r="BS85" s="129"/>
      <c r="BT85" s="129"/>
      <c r="BU85" s="129"/>
      <c r="BV85" s="129"/>
      <c r="BW85" s="129"/>
      <c r="BX85" s="129"/>
    </row>
    <row r="86" spans="6:76" ht="21" customHeight="1"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4"/>
      <c r="BO86" s="84"/>
      <c r="BP86" s="129"/>
      <c r="BQ86" s="129"/>
      <c r="BR86" s="129"/>
      <c r="BS86" s="129"/>
      <c r="BT86" s="129"/>
      <c r="BU86" s="129"/>
      <c r="BV86" s="129"/>
      <c r="BW86" s="129"/>
      <c r="BX86" s="129"/>
    </row>
    <row r="87" spans="6:76" ht="21" customHeight="1"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  <c r="AI87" s="83"/>
      <c r="AJ87" s="83"/>
      <c r="AK87" s="83"/>
      <c r="AL87" s="83"/>
      <c r="AM87" s="83"/>
      <c r="AN87" s="83"/>
      <c r="AO87" s="83"/>
      <c r="AP87" s="83"/>
      <c r="AQ87" s="83"/>
      <c r="AR87" s="83"/>
      <c r="AS87" s="83"/>
      <c r="AT87" s="83"/>
      <c r="AU87" s="83"/>
      <c r="AV87" s="83"/>
      <c r="AW87" s="83"/>
      <c r="AX87" s="83"/>
      <c r="AY87" s="83"/>
      <c r="AZ87" s="83"/>
      <c r="BA87" s="83"/>
      <c r="BB87" s="83"/>
      <c r="BC87" s="83"/>
      <c r="BD87" s="83"/>
      <c r="BE87" s="83"/>
      <c r="BF87" s="83"/>
      <c r="BG87" s="83"/>
      <c r="BH87" s="83"/>
      <c r="BI87" s="83"/>
      <c r="BJ87" s="83"/>
      <c r="BK87" s="83"/>
      <c r="BL87" s="83"/>
      <c r="BM87" s="83"/>
      <c r="BN87" s="84"/>
      <c r="BO87" s="84"/>
      <c r="BP87" s="129"/>
      <c r="BQ87" s="129"/>
      <c r="BR87" s="129"/>
      <c r="BS87" s="129"/>
      <c r="BT87" s="129"/>
      <c r="BU87" s="129"/>
      <c r="BV87" s="129"/>
      <c r="BW87" s="129"/>
      <c r="BX87" s="129"/>
    </row>
    <row r="88" spans="6:76" ht="21" customHeight="1"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  <c r="AI88" s="83"/>
      <c r="AJ88" s="83"/>
      <c r="AK88" s="83"/>
      <c r="AL88" s="83"/>
      <c r="AM88" s="83"/>
      <c r="AN88" s="83"/>
      <c r="AO88" s="83"/>
      <c r="AP88" s="83"/>
      <c r="AQ88" s="83"/>
      <c r="AR88" s="83"/>
      <c r="AS88" s="83"/>
      <c r="AT88" s="83"/>
      <c r="AU88" s="83"/>
      <c r="AV88" s="83"/>
      <c r="AW88" s="83"/>
      <c r="AX88" s="83"/>
      <c r="AY88" s="83"/>
      <c r="AZ88" s="83"/>
      <c r="BA88" s="83"/>
      <c r="BB88" s="83"/>
      <c r="BC88" s="83"/>
      <c r="BD88" s="83"/>
      <c r="BE88" s="83"/>
      <c r="BF88" s="83"/>
      <c r="BG88" s="83"/>
      <c r="BH88" s="83"/>
      <c r="BI88" s="83"/>
      <c r="BJ88" s="83"/>
      <c r="BK88" s="83"/>
      <c r="BL88" s="83"/>
      <c r="BM88" s="83"/>
      <c r="BN88" s="84"/>
      <c r="BO88" s="84"/>
      <c r="BP88" s="129"/>
      <c r="BQ88" s="129"/>
      <c r="BR88" s="129"/>
      <c r="BS88" s="129"/>
      <c r="BT88" s="129"/>
      <c r="BU88" s="129"/>
      <c r="BV88" s="129"/>
      <c r="BW88" s="129"/>
      <c r="BX88" s="129"/>
    </row>
    <row r="89" spans="6:76" ht="21" customHeight="1"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3"/>
      <c r="AN89" s="83"/>
      <c r="AO89" s="83"/>
      <c r="AP89" s="83"/>
      <c r="AQ89" s="83"/>
      <c r="AR89" s="83"/>
      <c r="AS89" s="83"/>
      <c r="AT89" s="83"/>
      <c r="AU89" s="83"/>
      <c r="AV89" s="83"/>
      <c r="AW89" s="83"/>
      <c r="AX89" s="83"/>
      <c r="AY89" s="83"/>
      <c r="AZ89" s="83"/>
      <c r="BA89" s="83"/>
      <c r="BB89" s="83"/>
      <c r="BC89" s="83"/>
      <c r="BD89" s="83"/>
      <c r="BE89" s="83"/>
      <c r="BF89" s="83"/>
      <c r="BG89" s="83"/>
      <c r="BH89" s="83"/>
      <c r="BI89" s="83"/>
      <c r="BJ89" s="83"/>
      <c r="BK89" s="83"/>
      <c r="BL89" s="83"/>
      <c r="BM89" s="83"/>
      <c r="BN89" s="84"/>
      <c r="BO89" s="84"/>
      <c r="BP89" s="129"/>
      <c r="BQ89" s="129"/>
      <c r="BR89" s="129"/>
      <c r="BS89" s="129"/>
      <c r="BT89" s="129"/>
      <c r="BU89" s="129"/>
      <c r="BV89" s="129"/>
      <c r="BW89" s="129"/>
      <c r="BX89" s="129"/>
    </row>
    <row r="90" spans="6:76" ht="21" customHeight="1"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83"/>
      <c r="AM90" s="83"/>
      <c r="AN90" s="83"/>
      <c r="AO90" s="83"/>
      <c r="AP90" s="83"/>
      <c r="AQ90" s="83"/>
      <c r="AR90" s="83"/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  <c r="BD90" s="83"/>
      <c r="BE90" s="83"/>
      <c r="BF90" s="83"/>
      <c r="BG90" s="83"/>
      <c r="BH90" s="83"/>
      <c r="BI90" s="83"/>
      <c r="BJ90" s="83"/>
      <c r="BK90" s="83"/>
      <c r="BL90" s="83"/>
      <c r="BM90" s="83"/>
      <c r="BN90" s="84"/>
      <c r="BO90" s="84"/>
      <c r="BP90" s="129"/>
      <c r="BQ90" s="129"/>
      <c r="BR90" s="129"/>
      <c r="BS90" s="129"/>
      <c r="BT90" s="129"/>
      <c r="BU90" s="129"/>
      <c r="BV90" s="129"/>
      <c r="BW90" s="129"/>
      <c r="BX90" s="129"/>
    </row>
    <row r="91" spans="6:76" ht="21" customHeight="1"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  <c r="BD91" s="83"/>
      <c r="BE91" s="83"/>
      <c r="BF91" s="83"/>
      <c r="BG91" s="83"/>
      <c r="BH91" s="83"/>
      <c r="BI91" s="83"/>
      <c r="BJ91" s="83"/>
      <c r="BK91" s="83"/>
      <c r="BL91" s="83"/>
      <c r="BM91" s="83"/>
      <c r="BN91" s="84"/>
      <c r="BO91" s="84"/>
      <c r="BP91" s="129"/>
      <c r="BQ91" s="129"/>
      <c r="BR91" s="129"/>
      <c r="BS91" s="129"/>
      <c r="BT91" s="129"/>
      <c r="BU91" s="129"/>
      <c r="BV91" s="129"/>
      <c r="BW91" s="129"/>
      <c r="BX91" s="129"/>
    </row>
    <row r="92" spans="6:76" ht="21" customHeight="1"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  <c r="AN92" s="83"/>
      <c r="AO92" s="83"/>
      <c r="AP92" s="83"/>
      <c r="AQ92" s="83"/>
      <c r="AR92" s="83"/>
      <c r="AS92" s="83"/>
      <c r="AT92" s="83"/>
      <c r="AU92" s="83"/>
      <c r="AV92" s="83"/>
      <c r="AW92" s="83"/>
      <c r="AX92" s="83"/>
      <c r="AY92" s="83"/>
      <c r="AZ92" s="83"/>
      <c r="BA92" s="83"/>
      <c r="BB92" s="83"/>
      <c r="BC92" s="83"/>
      <c r="BD92" s="83"/>
      <c r="BE92" s="83"/>
      <c r="BF92" s="83"/>
      <c r="BG92" s="83"/>
      <c r="BH92" s="83"/>
      <c r="BI92" s="83"/>
      <c r="BJ92" s="83"/>
      <c r="BK92" s="83"/>
      <c r="BL92" s="83"/>
      <c r="BM92" s="83"/>
      <c r="BN92" s="84"/>
      <c r="BO92" s="84"/>
      <c r="BP92" s="129"/>
      <c r="BQ92" s="129"/>
      <c r="BR92" s="129"/>
      <c r="BS92" s="129"/>
      <c r="BT92" s="129"/>
      <c r="BU92" s="129"/>
      <c r="BV92" s="129"/>
      <c r="BW92" s="129"/>
      <c r="BX92" s="129"/>
    </row>
    <row r="93" spans="6:76" ht="21" customHeight="1"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  <c r="AN93" s="83"/>
      <c r="AO93" s="83"/>
      <c r="AP93" s="83"/>
      <c r="AQ93" s="83"/>
      <c r="AR93" s="83"/>
      <c r="AS93" s="83"/>
      <c r="AT93" s="83"/>
      <c r="AU93" s="83"/>
      <c r="AV93" s="83"/>
      <c r="AW93" s="83"/>
      <c r="AX93" s="83"/>
      <c r="AY93" s="83"/>
      <c r="AZ93" s="83"/>
      <c r="BA93" s="83"/>
      <c r="BB93" s="83"/>
      <c r="BC93" s="83"/>
      <c r="BD93" s="83"/>
      <c r="BE93" s="83"/>
      <c r="BF93" s="83"/>
      <c r="BG93" s="83"/>
      <c r="BH93" s="83"/>
      <c r="BI93" s="83"/>
      <c r="BJ93" s="83"/>
      <c r="BK93" s="83"/>
      <c r="BL93" s="83"/>
      <c r="BM93" s="83"/>
      <c r="BN93" s="84"/>
      <c r="BO93" s="84"/>
      <c r="BP93" s="129"/>
      <c r="BQ93" s="129"/>
      <c r="BR93" s="129"/>
      <c r="BS93" s="129"/>
      <c r="BT93" s="129"/>
      <c r="BU93" s="129"/>
      <c r="BV93" s="129"/>
      <c r="BW93" s="129"/>
      <c r="BX93" s="129"/>
    </row>
    <row r="94" spans="6:76" ht="21" customHeight="1"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4"/>
      <c r="BO94" s="84"/>
      <c r="BP94" s="129"/>
      <c r="BQ94" s="129"/>
      <c r="BR94" s="129"/>
      <c r="BS94" s="129"/>
      <c r="BT94" s="129"/>
      <c r="BU94" s="129"/>
      <c r="BV94" s="129"/>
      <c r="BW94" s="129"/>
      <c r="BX94" s="129"/>
    </row>
    <row r="95" spans="6:76" ht="21" customHeight="1"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  <c r="AI95" s="83"/>
      <c r="AJ95" s="83"/>
      <c r="AK95" s="83"/>
      <c r="AL95" s="83"/>
      <c r="AM95" s="83"/>
      <c r="AN95" s="83"/>
      <c r="AO95" s="83"/>
      <c r="AP95" s="83"/>
      <c r="AQ95" s="83"/>
      <c r="AR95" s="83"/>
      <c r="AS95" s="83"/>
      <c r="AT95" s="83"/>
      <c r="AU95" s="83"/>
      <c r="AV95" s="83"/>
      <c r="AW95" s="83"/>
      <c r="AX95" s="83"/>
      <c r="AY95" s="83"/>
      <c r="AZ95" s="83"/>
      <c r="BA95" s="83"/>
      <c r="BB95" s="83"/>
      <c r="BC95" s="83"/>
      <c r="BD95" s="83"/>
      <c r="BE95" s="83"/>
      <c r="BF95" s="83"/>
      <c r="BG95" s="83"/>
      <c r="BH95" s="83"/>
      <c r="BI95" s="83"/>
      <c r="BJ95" s="83"/>
      <c r="BK95" s="83"/>
      <c r="BL95" s="83"/>
      <c r="BM95" s="83"/>
      <c r="BN95" s="84"/>
      <c r="BO95" s="84"/>
      <c r="BP95" s="129"/>
      <c r="BQ95" s="129"/>
      <c r="BR95" s="129"/>
      <c r="BS95" s="129"/>
      <c r="BT95" s="129"/>
      <c r="BU95" s="129"/>
      <c r="BV95" s="129"/>
      <c r="BW95" s="129"/>
      <c r="BX95" s="129"/>
    </row>
    <row r="96" spans="6:76" ht="21" customHeight="1"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  <c r="AI96" s="83"/>
      <c r="AJ96" s="83"/>
      <c r="AK96" s="83"/>
      <c r="AL96" s="83"/>
      <c r="AM96" s="83"/>
      <c r="AN96" s="83"/>
      <c r="AO96" s="83"/>
      <c r="AP96" s="83"/>
      <c r="AQ96" s="83"/>
      <c r="AR96" s="83"/>
      <c r="AS96" s="83"/>
      <c r="AT96" s="83"/>
      <c r="AU96" s="83"/>
      <c r="AV96" s="83"/>
      <c r="AW96" s="83"/>
      <c r="AX96" s="83"/>
      <c r="AY96" s="83"/>
      <c r="AZ96" s="83"/>
      <c r="BA96" s="83"/>
      <c r="BB96" s="83"/>
      <c r="BC96" s="83"/>
      <c r="BD96" s="83"/>
      <c r="BE96" s="83"/>
      <c r="BF96" s="83"/>
      <c r="BG96" s="83"/>
      <c r="BH96" s="83"/>
      <c r="BI96" s="83"/>
      <c r="BJ96" s="83"/>
      <c r="BK96" s="83"/>
      <c r="BL96" s="83"/>
      <c r="BM96" s="83"/>
      <c r="BN96" s="84"/>
      <c r="BO96" s="84"/>
      <c r="BP96" s="129"/>
      <c r="BQ96" s="129"/>
      <c r="BR96" s="129"/>
      <c r="BS96" s="129"/>
      <c r="BT96" s="129"/>
      <c r="BU96" s="129"/>
      <c r="BV96" s="129"/>
      <c r="BW96" s="129"/>
      <c r="BX96" s="129"/>
    </row>
    <row r="97" spans="6:76" ht="21" customHeight="1"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  <c r="AI97" s="83"/>
      <c r="AJ97" s="83"/>
      <c r="AK97" s="83"/>
      <c r="AL97" s="83"/>
      <c r="AM97" s="83"/>
      <c r="AN97" s="83"/>
      <c r="AO97" s="83"/>
      <c r="AP97" s="83"/>
      <c r="AQ97" s="83"/>
      <c r="AR97" s="83"/>
      <c r="AS97" s="83"/>
      <c r="AT97" s="83"/>
      <c r="AU97" s="83"/>
      <c r="AV97" s="83"/>
      <c r="AW97" s="83"/>
      <c r="AX97" s="83"/>
      <c r="AY97" s="83"/>
      <c r="AZ97" s="83"/>
      <c r="BA97" s="83"/>
      <c r="BB97" s="83"/>
      <c r="BC97" s="83"/>
      <c r="BD97" s="83"/>
      <c r="BE97" s="83"/>
      <c r="BF97" s="83"/>
      <c r="BG97" s="83"/>
      <c r="BH97" s="83"/>
      <c r="BI97" s="83"/>
      <c r="BJ97" s="83"/>
      <c r="BK97" s="83"/>
      <c r="BL97" s="83"/>
      <c r="BM97" s="83"/>
      <c r="BN97" s="84"/>
      <c r="BO97" s="84"/>
      <c r="BP97" s="129"/>
      <c r="BQ97" s="129"/>
      <c r="BR97" s="129"/>
      <c r="BS97" s="129"/>
      <c r="BT97" s="129"/>
      <c r="BU97" s="129"/>
      <c r="BV97" s="129"/>
      <c r="BW97" s="129"/>
      <c r="BX97" s="129"/>
    </row>
    <row r="98" spans="6:76" ht="21" customHeight="1"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  <c r="AI98" s="83"/>
      <c r="AJ98" s="83"/>
      <c r="AK98" s="83"/>
      <c r="AL98" s="83"/>
      <c r="AM98" s="83"/>
      <c r="AN98" s="83"/>
      <c r="AO98" s="83"/>
      <c r="AP98" s="83"/>
      <c r="AQ98" s="83"/>
      <c r="AR98" s="83"/>
      <c r="AS98" s="83"/>
      <c r="AT98" s="83"/>
      <c r="AU98" s="83"/>
      <c r="AV98" s="83"/>
      <c r="AW98" s="83"/>
      <c r="AX98" s="83"/>
      <c r="AY98" s="83"/>
      <c r="AZ98" s="83"/>
      <c r="BA98" s="83"/>
      <c r="BB98" s="83"/>
      <c r="BC98" s="83"/>
      <c r="BD98" s="83"/>
      <c r="BE98" s="83"/>
      <c r="BF98" s="83"/>
      <c r="BG98" s="83"/>
      <c r="BH98" s="83"/>
      <c r="BI98" s="83"/>
      <c r="BJ98" s="83"/>
      <c r="BK98" s="83"/>
      <c r="BL98" s="83"/>
      <c r="BM98" s="83"/>
      <c r="BN98" s="84"/>
      <c r="BO98" s="84"/>
      <c r="BP98" s="129"/>
      <c r="BQ98" s="129"/>
      <c r="BR98" s="129"/>
      <c r="BS98" s="129"/>
      <c r="BT98" s="129"/>
      <c r="BU98" s="129"/>
      <c r="BV98" s="129"/>
      <c r="BW98" s="129"/>
      <c r="BX98" s="129"/>
    </row>
    <row r="99" spans="6:76" ht="21" customHeight="1"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  <c r="AI99" s="83"/>
      <c r="AJ99" s="83"/>
      <c r="AK99" s="83"/>
      <c r="AL99" s="83"/>
      <c r="AM99" s="83"/>
      <c r="AN99" s="83"/>
      <c r="AO99" s="83"/>
      <c r="AP99" s="83"/>
      <c r="AQ99" s="83"/>
      <c r="AR99" s="83"/>
      <c r="AS99" s="83"/>
      <c r="AT99" s="83"/>
      <c r="AU99" s="83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4"/>
      <c r="BO99" s="84"/>
      <c r="BP99" s="129"/>
      <c r="BQ99" s="129"/>
      <c r="BR99" s="129"/>
      <c r="BS99" s="129"/>
      <c r="BT99" s="129"/>
      <c r="BU99" s="129"/>
      <c r="BV99" s="129"/>
      <c r="BW99" s="129"/>
      <c r="BX99" s="129"/>
    </row>
    <row r="100" spans="6:76" ht="21" customHeight="1"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  <c r="AI100" s="83"/>
      <c r="AJ100" s="83"/>
      <c r="AK100" s="83"/>
      <c r="AL100" s="83"/>
      <c r="AM100" s="83"/>
      <c r="AN100" s="83"/>
      <c r="AO100" s="83"/>
      <c r="AP100" s="83"/>
      <c r="AQ100" s="83"/>
      <c r="AR100" s="83"/>
      <c r="AS100" s="83"/>
      <c r="AT100" s="83"/>
      <c r="AU100" s="83"/>
      <c r="AV100" s="83"/>
      <c r="AW100" s="83"/>
      <c r="AX100" s="83"/>
      <c r="AY100" s="83"/>
      <c r="AZ100" s="83"/>
      <c r="BA100" s="83"/>
      <c r="BB100" s="83"/>
      <c r="BC100" s="83"/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4"/>
      <c r="BO100" s="84"/>
      <c r="BP100" s="129"/>
      <c r="BQ100" s="129"/>
      <c r="BR100" s="129"/>
      <c r="BS100" s="129"/>
      <c r="BT100" s="129"/>
      <c r="BU100" s="129"/>
      <c r="BV100" s="129"/>
      <c r="BW100" s="129"/>
      <c r="BX100" s="129"/>
    </row>
    <row r="101" spans="6:76" ht="21" customHeight="1"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3"/>
      <c r="AJ101" s="83"/>
      <c r="AK101" s="83"/>
      <c r="AL101" s="83"/>
      <c r="AM101" s="83"/>
      <c r="AN101" s="83"/>
      <c r="AO101" s="83"/>
      <c r="AP101" s="83"/>
      <c r="AQ101" s="83"/>
      <c r="AR101" s="83"/>
      <c r="AS101" s="83"/>
      <c r="AT101" s="83"/>
      <c r="AU101" s="83"/>
      <c r="AV101" s="83"/>
      <c r="AW101" s="83"/>
      <c r="AX101" s="83"/>
      <c r="AY101" s="83"/>
      <c r="AZ101" s="83"/>
      <c r="BA101" s="83"/>
      <c r="BB101" s="83"/>
      <c r="BC101" s="83"/>
      <c r="BD101" s="83"/>
      <c r="BE101" s="83"/>
      <c r="BF101" s="83"/>
      <c r="BG101" s="83"/>
      <c r="BH101" s="83"/>
      <c r="BI101" s="83"/>
      <c r="BJ101" s="83"/>
      <c r="BK101" s="83"/>
      <c r="BL101" s="83"/>
      <c r="BM101" s="83"/>
      <c r="BN101" s="84"/>
      <c r="BO101" s="84"/>
      <c r="BP101" s="129"/>
      <c r="BQ101" s="129"/>
      <c r="BR101" s="129"/>
      <c r="BS101" s="129"/>
      <c r="BT101" s="129"/>
      <c r="BU101" s="129"/>
      <c r="BV101" s="129"/>
      <c r="BW101" s="129"/>
      <c r="BX101" s="129"/>
    </row>
    <row r="102" spans="6:76" ht="21" customHeight="1"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4"/>
      <c r="BO102" s="84"/>
      <c r="BP102" s="129"/>
      <c r="BQ102" s="129"/>
      <c r="BR102" s="129"/>
      <c r="BS102" s="129"/>
      <c r="BT102" s="129"/>
      <c r="BU102" s="129"/>
      <c r="BV102" s="129"/>
      <c r="BW102" s="129"/>
      <c r="BX102" s="129"/>
    </row>
    <row r="103" spans="6:76" ht="21" customHeight="1"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  <c r="AL103" s="83"/>
      <c r="AM103" s="83"/>
      <c r="AN103" s="83"/>
      <c r="AO103" s="83"/>
      <c r="AP103" s="83"/>
      <c r="AQ103" s="83"/>
      <c r="AR103" s="83"/>
      <c r="AS103" s="83"/>
      <c r="AT103" s="83"/>
      <c r="AU103" s="83"/>
      <c r="AV103" s="83"/>
      <c r="AW103" s="83"/>
      <c r="AX103" s="83"/>
      <c r="AY103" s="83"/>
      <c r="AZ103" s="83"/>
      <c r="BA103" s="83"/>
      <c r="BB103" s="83"/>
      <c r="BC103" s="83"/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4"/>
      <c r="BO103" s="84"/>
      <c r="BP103" s="129"/>
      <c r="BQ103" s="129"/>
      <c r="BR103" s="129"/>
      <c r="BS103" s="129"/>
      <c r="BT103" s="129"/>
      <c r="BU103" s="129"/>
      <c r="BV103" s="129"/>
      <c r="BW103" s="129"/>
      <c r="BX103" s="129"/>
    </row>
    <row r="104" spans="6:76" ht="21" customHeight="1"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  <c r="AL104" s="83"/>
      <c r="AM104" s="83"/>
      <c r="AN104" s="83"/>
      <c r="AO104" s="83"/>
      <c r="AP104" s="83"/>
      <c r="AQ104" s="83"/>
      <c r="AR104" s="83"/>
      <c r="AS104" s="83"/>
      <c r="AT104" s="83"/>
      <c r="AU104" s="83"/>
      <c r="AV104" s="83"/>
      <c r="AW104" s="83"/>
      <c r="AX104" s="83"/>
      <c r="AY104" s="83"/>
      <c r="AZ104" s="83"/>
      <c r="BA104" s="83"/>
      <c r="BB104" s="83"/>
      <c r="BC104" s="83"/>
      <c r="BD104" s="83"/>
      <c r="BE104" s="83"/>
      <c r="BF104" s="83"/>
      <c r="BG104" s="83"/>
      <c r="BH104" s="83"/>
      <c r="BI104" s="83"/>
      <c r="BJ104" s="83"/>
      <c r="BK104" s="83"/>
      <c r="BL104" s="83"/>
      <c r="BM104" s="83"/>
      <c r="BN104" s="84"/>
      <c r="BO104" s="84"/>
      <c r="BP104" s="129"/>
      <c r="BQ104" s="129"/>
      <c r="BR104" s="129"/>
      <c r="BS104" s="129"/>
      <c r="BT104" s="129"/>
      <c r="BU104" s="129"/>
      <c r="BV104" s="129"/>
      <c r="BW104" s="129"/>
      <c r="BX104" s="129"/>
    </row>
    <row r="105" spans="6:76" ht="21" customHeight="1"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  <c r="AL105" s="83"/>
      <c r="AM105" s="83"/>
      <c r="AN105" s="83"/>
      <c r="AO105" s="83"/>
      <c r="AP105" s="83"/>
      <c r="AQ105" s="83"/>
      <c r="AR105" s="83"/>
      <c r="AS105" s="83"/>
      <c r="AT105" s="83"/>
      <c r="AU105" s="83"/>
      <c r="AV105" s="83"/>
      <c r="AW105" s="83"/>
      <c r="AX105" s="83"/>
      <c r="AY105" s="83"/>
      <c r="AZ105" s="83"/>
      <c r="BA105" s="83"/>
      <c r="BB105" s="83"/>
      <c r="BC105" s="83"/>
      <c r="BD105" s="83"/>
      <c r="BE105" s="83"/>
      <c r="BF105" s="83"/>
      <c r="BG105" s="83"/>
      <c r="BH105" s="83"/>
      <c r="BI105" s="83"/>
      <c r="BJ105" s="83"/>
      <c r="BK105" s="83"/>
      <c r="BL105" s="83"/>
      <c r="BM105" s="83"/>
      <c r="BN105" s="84"/>
      <c r="BO105" s="84"/>
      <c r="BP105" s="129"/>
      <c r="BQ105" s="129"/>
      <c r="BR105" s="129"/>
      <c r="BS105" s="129"/>
      <c r="BT105" s="129"/>
      <c r="BU105" s="129"/>
      <c r="BV105" s="129"/>
      <c r="BW105" s="129"/>
      <c r="BX105" s="129"/>
    </row>
    <row r="106" spans="6:76" ht="21" customHeight="1"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  <c r="AL106" s="83"/>
      <c r="AM106" s="83"/>
      <c r="AN106" s="83"/>
      <c r="AO106" s="83"/>
      <c r="AP106" s="83"/>
      <c r="AQ106" s="83"/>
      <c r="AR106" s="83"/>
      <c r="AS106" s="83"/>
      <c r="AT106" s="83"/>
      <c r="AU106" s="83"/>
      <c r="AV106" s="83"/>
      <c r="AW106" s="83"/>
      <c r="AX106" s="83"/>
      <c r="AY106" s="83"/>
      <c r="AZ106" s="83"/>
      <c r="BA106" s="83"/>
      <c r="BB106" s="83"/>
      <c r="BC106" s="83"/>
      <c r="BD106" s="83"/>
      <c r="BE106" s="83"/>
      <c r="BF106" s="83"/>
      <c r="BG106" s="83"/>
      <c r="BH106" s="83"/>
      <c r="BI106" s="83"/>
      <c r="BJ106" s="83"/>
      <c r="BK106" s="83"/>
      <c r="BL106" s="83"/>
      <c r="BM106" s="83"/>
      <c r="BN106" s="84"/>
      <c r="BO106" s="84"/>
      <c r="BP106" s="129"/>
      <c r="BQ106" s="129"/>
      <c r="BR106" s="129"/>
      <c r="BS106" s="129"/>
      <c r="BT106" s="129"/>
      <c r="BU106" s="129"/>
      <c r="BV106" s="129"/>
      <c r="BW106" s="129"/>
      <c r="BX106" s="129"/>
    </row>
    <row r="107" spans="6:76" ht="21" customHeight="1"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  <c r="AL107" s="83"/>
      <c r="AM107" s="83"/>
      <c r="AN107" s="83"/>
      <c r="AO107" s="83"/>
      <c r="AP107" s="83"/>
      <c r="AQ107" s="83"/>
      <c r="AR107" s="83"/>
      <c r="AS107" s="83"/>
      <c r="AT107" s="83"/>
      <c r="AU107" s="83"/>
      <c r="AV107" s="83"/>
      <c r="AW107" s="83"/>
      <c r="AX107" s="83"/>
      <c r="AY107" s="83"/>
      <c r="AZ107" s="83"/>
      <c r="BA107" s="83"/>
      <c r="BB107" s="83"/>
      <c r="BC107" s="83"/>
      <c r="BD107" s="83"/>
      <c r="BE107" s="83"/>
      <c r="BF107" s="83"/>
      <c r="BG107" s="83"/>
      <c r="BH107" s="83"/>
      <c r="BI107" s="83"/>
      <c r="BJ107" s="83"/>
      <c r="BK107" s="83"/>
      <c r="BL107" s="83"/>
      <c r="BM107" s="83"/>
      <c r="BN107" s="84"/>
      <c r="BO107" s="84"/>
      <c r="BP107" s="129"/>
      <c r="BQ107" s="129"/>
      <c r="BR107" s="129"/>
      <c r="BS107" s="129"/>
      <c r="BT107" s="129"/>
      <c r="BU107" s="129"/>
      <c r="BV107" s="129"/>
      <c r="BW107" s="129"/>
      <c r="BX107" s="129"/>
    </row>
    <row r="108" spans="6:76" ht="21" customHeight="1"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3"/>
      <c r="AL108" s="83"/>
      <c r="AM108" s="83"/>
      <c r="AN108" s="83"/>
      <c r="AO108" s="83"/>
      <c r="AP108" s="83"/>
      <c r="AQ108" s="83"/>
      <c r="AR108" s="83"/>
      <c r="AS108" s="83"/>
      <c r="AT108" s="83"/>
      <c r="AU108" s="83"/>
      <c r="AV108" s="83"/>
      <c r="AW108" s="83"/>
      <c r="AX108" s="83"/>
      <c r="AY108" s="83"/>
      <c r="AZ108" s="83"/>
      <c r="BA108" s="83"/>
      <c r="BB108" s="83"/>
      <c r="BC108" s="83"/>
      <c r="BD108" s="83"/>
      <c r="BE108" s="83"/>
      <c r="BF108" s="83"/>
      <c r="BG108" s="83"/>
      <c r="BH108" s="83"/>
      <c r="BI108" s="83"/>
      <c r="BJ108" s="83"/>
      <c r="BK108" s="83"/>
      <c r="BL108" s="83"/>
      <c r="BM108" s="83"/>
      <c r="BN108" s="84"/>
      <c r="BO108" s="84"/>
      <c r="BP108" s="129"/>
      <c r="BQ108" s="129"/>
      <c r="BR108" s="129"/>
      <c r="BS108" s="129"/>
      <c r="BT108" s="129"/>
      <c r="BU108" s="129"/>
      <c r="BV108" s="129"/>
      <c r="BW108" s="129"/>
      <c r="BX108" s="129"/>
    </row>
    <row r="109" spans="6:76" ht="21" customHeight="1"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3"/>
      <c r="AN109" s="83"/>
      <c r="AO109" s="83"/>
      <c r="AP109" s="83"/>
      <c r="AQ109" s="83"/>
      <c r="AR109" s="83"/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  <c r="BD109" s="83"/>
      <c r="BE109" s="83"/>
      <c r="BF109" s="83"/>
      <c r="BG109" s="83"/>
      <c r="BH109" s="83"/>
      <c r="BI109" s="83"/>
      <c r="BJ109" s="83"/>
      <c r="BK109" s="83"/>
      <c r="BL109" s="83"/>
      <c r="BM109" s="83"/>
      <c r="BN109" s="84"/>
      <c r="BO109" s="84"/>
      <c r="BP109" s="129"/>
      <c r="BQ109" s="129"/>
      <c r="BR109" s="129"/>
      <c r="BS109" s="129"/>
      <c r="BT109" s="129"/>
      <c r="BU109" s="129"/>
      <c r="BV109" s="129"/>
      <c r="BW109" s="129"/>
      <c r="BX109" s="129"/>
    </row>
    <row r="110" spans="6:76" ht="21" customHeight="1"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4"/>
      <c r="BO110" s="84"/>
      <c r="BP110" s="129"/>
      <c r="BQ110" s="129"/>
      <c r="BR110" s="129"/>
      <c r="BS110" s="129"/>
      <c r="BT110" s="129"/>
      <c r="BU110" s="129"/>
      <c r="BV110" s="129"/>
      <c r="BW110" s="129"/>
      <c r="BX110" s="129"/>
    </row>
    <row r="111" spans="6:76" ht="21" customHeight="1"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  <c r="AI111" s="83"/>
      <c r="AJ111" s="83"/>
      <c r="AK111" s="83"/>
      <c r="AL111" s="83"/>
      <c r="AM111" s="83"/>
      <c r="AN111" s="83"/>
      <c r="AO111" s="83"/>
      <c r="AP111" s="83"/>
      <c r="AQ111" s="83"/>
      <c r="AR111" s="83"/>
      <c r="AS111" s="83"/>
      <c r="AT111" s="83"/>
      <c r="AU111" s="83"/>
      <c r="AV111" s="83"/>
      <c r="AW111" s="83"/>
      <c r="AX111" s="83"/>
      <c r="AY111" s="83"/>
      <c r="AZ111" s="83"/>
      <c r="BA111" s="83"/>
      <c r="BB111" s="83"/>
      <c r="BC111" s="83"/>
      <c r="BD111" s="83"/>
      <c r="BE111" s="83"/>
      <c r="BF111" s="83"/>
      <c r="BG111" s="83"/>
      <c r="BH111" s="83"/>
      <c r="BI111" s="83"/>
      <c r="BJ111" s="83"/>
      <c r="BK111" s="83"/>
      <c r="BL111" s="83"/>
      <c r="BM111" s="83"/>
      <c r="BN111" s="84"/>
      <c r="BO111" s="84"/>
      <c r="BP111" s="129"/>
      <c r="BQ111" s="129"/>
      <c r="BR111" s="129"/>
      <c r="BS111" s="129"/>
      <c r="BT111" s="129"/>
      <c r="BU111" s="129"/>
      <c r="BV111" s="129"/>
      <c r="BW111" s="129"/>
      <c r="BX111" s="129"/>
    </row>
    <row r="112" spans="6:76" ht="21" customHeight="1"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  <c r="AI112" s="83"/>
      <c r="AJ112" s="83"/>
      <c r="AK112" s="83"/>
      <c r="AL112" s="83"/>
      <c r="AM112" s="83"/>
      <c r="AN112" s="83"/>
      <c r="AO112" s="83"/>
      <c r="AP112" s="83"/>
      <c r="AQ112" s="83"/>
      <c r="AR112" s="83"/>
      <c r="AS112" s="83"/>
      <c r="AT112" s="83"/>
      <c r="AU112" s="83"/>
      <c r="AV112" s="83"/>
      <c r="AW112" s="83"/>
      <c r="AX112" s="83"/>
      <c r="AY112" s="83"/>
      <c r="AZ112" s="83"/>
      <c r="BA112" s="83"/>
      <c r="BB112" s="83"/>
      <c r="BC112" s="83"/>
      <c r="BD112" s="83"/>
      <c r="BE112" s="83"/>
      <c r="BF112" s="83"/>
      <c r="BG112" s="83"/>
      <c r="BH112" s="83"/>
      <c r="BI112" s="83"/>
      <c r="BJ112" s="83"/>
      <c r="BK112" s="83"/>
      <c r="BL112" s="83"/>
      <c r="BM112" s="83"/>
      <c r="BN112" s="84"/>
      <c r="BO112" s="84"/>
      <c r="BP112" s="129"/>
      <c r="BQ112" s="129"/>
      <c r="BR112" s="129"/>
      <c r="BS112" s="129"/>
      <c r="BT112" s="129"/>
      <c r="BU112" s="129"/>
      <c r="BV112" s="129"/>
      <c r="BW112" s="129"/>
      <c r="BX112" s="129"/>
    </row>
    <row r="113" spans="6:76" ht="21" customHeight="1"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  <c r="AL113" s="83"/>
      <c r="AM113" s="83"/>
      <c r="AN113" s="83"/>
      <c r="AO113" s="83"/>
      <c r="AP113" s="83"/>
      <c r="AQ113" s="83"/>
      <c r="AR113" s="83"/>
      <c r="AS113" s="83"/>
      <c r="AT113" s="83"/>
      <c r="AU113" s="83"/>
      <c r="AV113" s="83"/>
      <c r="AW113" s="83"/>
      <c r="AX113" s="83"/>
      <c r="AY113" s="83"/>
      <c r="AZ113" s="83"/>
      <c r="BA113" s="83"/>
      <c r="BB113" s="83"/>
      <c r="BC113" s="83"/>
      <c r="BD113" s="83"/>
      <c r="BE113" s="83"/>
      <c r="BF113" s="83"/>
      <c r="BG113" s="83"/>
      <c r="BH113" s="83"/>
      <c r="BI113" s="83"/>
      <c r="BJ113" s="83"/>
      <c r="BK113" s="83"/>
      <c r="BL113" s="83"/>
      <c r="BM113" s="83"/>
      <c r="BN113" s="84"/>
      <c r="BO113" s="84"/>
      <c r="BP113" s="129"/>
      <c r="BQ113" s="129"/>
      <c r="BR113" s="129"/>
      <c r="BS113" s="129"/>
      <c r="BT113" s="129"/>
      <c r="BU113" s="129"/>
      <c r="BV113" s="129"/>
      <c r="BW113" s="129"/>
      <c r="BX113" s="129"/>
    </row>
    <row r="114" spans="6:76" ht="21" customHeight="1"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3"/>
      <c r="AL114" s="83"/>
      <c r="AM114" s="83"/>
      <c r="AN114" s="83"/>
      <c r="AO114" s="83"/>
      <c r="AP114" s="83"/>
      <c r="AQ114" s="83"/>
      <c r="AR114" s="83"/>
      <c r="AS114" s="83"/>
      <c r="AT114" s="83"/>
      <c r="AU114" s="83"/>
      <c r="AV114" s="83"/>
      <c r="AW114" s="83"/>
      <c r="AX114" s="83"/>
      <c r="AY114" s="83"/>
      <c r="AZ114" s="83"/>
      <c r="BA114" s="83"/>
      <c r="BB114" s="83"/>
      <c r="BC114" s="83"/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4"/>
      <c r="BO114" s="84"/>
      <c r="BP114" s="129"/>
      <c r="BQ114" s="129"/>
      <c r="BR114" s="129"/>
      <c r="BS114" s="129"/>
      <c r="BT114" s="129"/>
      <c r="BU114" s="129"/>
      <c r="BV114" s="129"/>
      <c r="BW114" s="129"/>
      <c r="BX114" s="129"/>
    </row>
    <row r="115" spans="6:76" ht="21" customHeight="1"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  <c r="AL115" s="83"/>
      <c r="AM115" s="83"/>
      <c r="AN115" s="83"/>
      <c r="AO115" s="83"/>
      <c r="AP115" s="83"/>
      <c r="AQ115" s="83"/>
      <c r="AR115" s="83"/>
      <c r="AS115" s="83"/>
      <c r="AT115" s="83"/>
      <c r="AU115" s="83"/>
      <c r="AV115" s="83"/>
      <c r="AW115" s="83"/>
      <c r="AX115" s="83"/>
      <c r="AY115" s="83"/>
      <c r="AZ115" s="83"/>
      <c r="BA115" s="83"/>
      <c r="BB115" s="83"/>
      <c r="BC115" s="83"/>
      <c r="BD115" s="83"/>
      <c r="BE115" s="83"/>
      <c r="BF115" s="83"/>
      <c r="BG115" s="83"/>
      <c r="BH115" s="83"/>
      <c r="BI115" s="83"/>
      <c r="BJ115" s="83"/>
      <c r="BK115" s="83"/>
      <c r="BL115" s="83"/>
      <c r="BM115" s="83"/>
      <c r="BN115" s="84"/>
      <c r="BO115" s="84"/>
      <c r="BP115" s="129"/>
      <c r="BQ115" s="129"/>
      <c r="BR115" s="129"/>
      <c r="BS115" s="129"/>
      <c r="BT115" s="129"/>
      <c r="BU115" s="129"/>
      <c r="BV115" s="129"/>
      <c r="BW115" s="129"/>
      <c r="BX115" s="129"/>
    </row>
    <row r="116" spans="6:76" ht="21" customHeight="1"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3"/>
      <c r="AJ116" s="83"/>
      <c r="AK116" s="83"/>
      <c r="AL116" s="83"/>
      <c r="AM116" s="83"/>
      <c r="AN116" s="83"/>
      <c r="AO116" s="83"/>
      <c r="AP116" s="83"/>
      <c r="AQ116" s="83"/>
      <c r="AR116" s="83"/>
      <c r="AS116" s="83"/>
      <c r="AT116" s="83"/>
      <c r="AU116" s="83"/>
      <c r="AV116" s="83"/>
      <c r="AW116" s="83"/>
      <c r="AX116" s="83"/>
      <c r="AY116" s="83"/>
      <c r="AZ116" s="83"/>
      <c r="BA116" s="83"/>
      <c r="BB116" s="83"/>
      <c r="BC116" s="83"/>
      <c r="BD116" s="83"/>
      <c r="BE116" s="83"/>
      <c r="BF116" s="83"/>
      <c r="BG116" s="83"/>
      <c r="BH116" s="83"/>
      <c r="BI116" s="83"/>
      <c r="BJ116" s="83"/>
      <c r="BK116" s="83"/>
      <c r="BL116" s="83"/>
      <c r="BM116" s="83"/>
      <c r="BN116" s="84"/>
      <c r="BO116" s="84"/>
      <c r="BP116" s="129"/>
      <c r="BQ116" s="129"/>
      <c r="BR116" s="129"/>
      <c r="BS116" s="129"/>
      <c r="BT116" s="129"/>
      <c r="BU116" s="129"/>
      <c r="BV116" s="129"/>
      <c r="BW116" s="129"/>
      <c r="BX116" s="129"/>
    </row>
    <row r="117" spans="6:76" ht="21" customHeight="1"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  <c r="AL117" s="83"/>
      <c r="AM117" s="83"/>
      <c r="AN117" s="83"/>
      <c r="AO117" s="83"/>
      <c r="AP117" s="83"/>
      <c r="AQ117" s="83"/>
      <c r="AR117" s="83"/>
      <c r="AS117" s="83"/>
      <c r="AT117" s="83"/>
      <c r="AU117" s="83"/>
      <c r="AV117" s="83"/>
      <c r="AW117" s="83"/>
      <c r="AX117" s="83"/>
      <c r="AY117" s="83"/>
      <c r="AZ117" s="83"/>
      <c r="BA117" s="83"/>
      <c r="BB117" s="83"/>
      <c r="BC117" s="83"/>
      <c r="BD117" s="83"/>
      <c r="BE117" s="83"/>
      <c r="BF117" s="83"/>
      <c r="BG117" s="83"/>
      <c r="BH117" s="83"/>
      <c r="BI117" s="83"/>
      <c r="BJ117" s="83"/>
      <c r="BK117" s="83"/>
      <c r="BL117" s="83"/>
      <c r="BM117" s="83"/>
      <c r="BN117" s="84"/>
      <c r="BO117" s="84"/>
      <c r="BP117" s="129"/>
      <c r="BQ117" s="129"/>
      <c r="BR117" s="129"/>
      <c r="BS117" s="129"/>
      <c r="BT117" s="129"/>
      <c r="BU117" s="129"/>
      <c r="BV117" s="129"/>
      <c r="BW117" s="129"/>
      <c r="BX117" s="129"/>
    </row>
    <row r="118" spans="6:76" ht="21" customHeight="1"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4"/>
      <c r="BO118" s="84"/>
      <c r="BP118" s="129"/>
      <c r="BQ118" s="129"/>
      <c r="BR118" s="129"/>
      <c r="BS118" s="129"/>
      <c r="BT118" s="129"/>
      <c r="BU118" s="129"/>
      <c r="BV118" s="129"/>
      <c r="BW118" s="129"/>
      <c r="BX118" s="129"/>
    </row>
    <row r="119" spans="6:76" ht="21" customHeight="1"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3"/>
      <c r="AJ119" s="83"/>
      <c r="AK119" s="83"/>
      <c r="AL119" s="83"/>
      <c r="AM119" s="83"/>
      <c r="AN119" s="83"/>
      <c r="AO119" s="83"/>
      <c r="AP119" s="83"/>
      <c r="AQ119" s="83"/>
      <c r="AR119" s="83"/>
      <c r="AS119" s="83"/>
      <c r="AT119" s="83"/>
      <c r="AU119" s="83"/>
      <c r="AV119" s="83"/>
      <c r="AW119" s="83"/>
      <c r="AX119" s="83"/>
      <c r="AY119" s="83"/>
      <c r="AZ119" s="83"/>
      <c r="BA119" s="83"/>
      <c r="BB119" s="83"/>
      <c r="BC119" s="83"/>
      <c r="BD119" s="83"/>
      <c r="BE119" s="83"/>
      <c r="BF119" s="83"/>
      <c r="BG119" s="83"/>
      <c r="BH119" s="83"/>
      <c r="BI119" s="83"/>
      <c r="BJ119" s="83"/>
      <c r="BK119" s="83"/>
      <c r="BL119" s="83"/>
      <c r="BM119" s="83"/>
      <c r="BN119" s="84"/>
      <c r="BO119" s="84"/>
      <c r="BP119" s="129"/>
      <c r="BQ119" s="129"/>
      <c r="BR119" s="129"/>
      <c r="BS119" s="129"/>
      <c r="BT119" s="129"/>
      <c r="BU119" s="129"/>
      <c r="BV119" s="129"/>
      <c r="BW119" s="129"/>
      <c r="BX119" s="129"/>
    </row>
    <row r="120" spans="6:76" ht="21" customHeight="1"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3"/>
      <c r="AJ120" s="83"/>
      <c r="AK120" s="83"/>
      <c r="AL120" s="83"/>
      <c r="AM120" s="83"/>
      <c r="AN120" s="83"/>
      <c r="AO120" s="83"/>
      <c r="AP120" s="83"/>
      <c r="AQ120" s="83"/>
      <c r="AR120" s="83"/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  <c r="BD120" s="83"/>
      <c r="BE120" s="83"/>
      <c r="BF120" s="83"/>
      <c r="BG120" s="83"/>
      <c r="BH120" s="83"/>
      <c r="BI120" s="83"/>
      <c r="BJ120" s="83"/>
      <c r="BK120" s="83"/>
      <c r="BL120" s="83"/>
      <c r="BM120" s="83"/>
      <c r="BN120" s="84"/>
      <c r="BO120" s="84"/>
      <c r="BP120" s="129"/>
      <c r="BQ120" s="129"/>
      <c r="BR120" s="129"/>
      <c r="BS120" s="129"/>
      <c r="BT120" s="129"/>
      <c r="BU120" s="129"/>
      <c r="BV120" s="129"/>
      <c r="BW120" s="129"/>
      <c r="BX120" s="129"/>
    </row>
    <row r="121" spans="6:76" ht="21" customHeight="1"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  <c r="AI121" s="83"/>
      <c r="AJ121" s="83"/>
      <c r="AK121" s="83"/>
      <c r="AL121" s="83"/>
      <c r="AM121" s="83"/>
      <c r="AN121" s="83"/>
      <c r="AO121" s="83"/>
      <c r="AP121" s="83"/>
      <c r="AQ121" s="83"/>
      <c r="AR121" s="83"/>
      <c r="AS121" s="83"/>
      <c r="AT121" s="83"/>
      <c r="AU121" s="83"/>
      <c r="AV121" s="83"/>
      <c r="AW121" s="83"/>
      <c r="AX121" s="83"/>
      <c r="AY121" s="83"/>
      <c r="AZ121" s="83"/>
      <c r="BA121" s="83"/>
      <c r="BB121" s="83"/>
      <c r="BC121" s="83"/>
      <c r="BD121" s="83"/>
      <c r="BE121" s="83"/>
      <c r="BF121" s="83"/>
      <c r="BG121" s="83"/>
      <c r="BH121" s="83"/>
      <c r="BI121" s="83"/>
      <c r="BJ121" s="83"/>
      <c r="BK121" s="83"/>
      <c r="BL121" s="83"/>
      <c r="BM121" s="83"/>
      <c r="BN121" s="84"/>
      <c r="BO121" s="84"/>
      <c r="BP121" s="129"/>
      <c r="BQ121" s="129"/>
      <c r="BR121" s="129"/>
      <c r="BS121" s="129"/>
      <c r="BT121" s="129"/>
      <c r="BU121" s="129"/>
      <c r="BV121" s="129"/>
      <c r="BW121" s="129"/>
      <c r="BX121" s="129"/>
    </row>
    <row r="122" spans="6:76" ht="21" customHeight="1"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  <c r="AI122" s="83"/>
      <c r="AJ122" s="83"/>
      <c r="AK122" s="83"/>
      <c r="AL122" s="83"/>
      <c r="AM122" s="83"/>
      <c r="AN122" s="83"/>
      <c r="AO122" s="83"/>
      <c r="AP122" s="83"/>
      <c r="AQ122" s="83"/>
      <c r="AR122" s="83"/>
      <c r="AS122" s="83"/>
      <c r="AT122" s="83"/>
      <c r="AU122" s="83"/>
      <c r="AV122" s="83"/>
      <c r="AW122" s="83"/>
      <c r="AX122" s="83"/>
      <c r="AY122" s="83"/>
      <c r="AZ122" s="83"/>
      <c r="BA122" s="83"/>
      <c r="BB122" s="83"/>
      <c r="BC122" s="83"/>
      <c r="BD122" s="83"/>
      <c r="BE122" s="83"/>
      <c r="BF122" s="83"/>
      <c r="BG122" s="83"/>
      <c r="BH122" s="83"/>
      <c r="BI122" s="83"/>
      <c r="BJ122" s="83"/>
      <c r="BK122" s="83"/>
      <c r="BL122" s="83"/>
      <c r="BM122" s="83"/>
      <c r="BN122" s="84"/>
      <c r="BO122" s="84"/>
      <c r="BP122" s="129"/>
      <c r="BQ122" s="129"/>
      <c r="BR122" s="129"/>
      <c r="BS122" s="129"/>
      <c r="BT122" s="129"/>
      <c r="BU122" s="129"/>
      <c r="BV122" s="129"/>
      <c r="BW122" s="129"/>
      <c r="BX122" s="129"/>
    </row>
    <row r="123" spans="6:76" ht="21" customHeight="1"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  <c r="AI123" s="83"/>
      <c r="AJ123" s="83"/>
      <c r="AK123" s="83"/>
      <c r="AL123" s="83"/>
      <c r="AM123" s="83"/>
      <c r="AN123" s="83"/>
      <c r="AO123" s="83"/>
      <c r="AP123" s="83"/>
      <c r="AQ123" s="83"/>
      <c r="AR123" s="83"/>
      <c r="AS123" s="83"/>
      <c r="AT123" s="83"/>
      <c r="AU123" s="83"/>
      <c r="AV123" s="83"/>
      <c r="AW123" s="83"/>
      <c r="AX123" s="83"/>
      <c r="AY123" s="83"/>
      <c r="AZ123" s="83"/>
      <c r="BA123" s="83"/>
      <c r="BB123" s="83"/>
      <c r="BC123" s="83"/>
      <c r="BD123" s="83"/>
      <c r="BE123" s="83"/>
      <c r="BF123" s="83"/>
      <c r="BG123" s="83"/>
      <c r="BH123" s="83"/>
      <c r="BI123" s="83"/>
      <c r="BJ123" s="83"/>
      <c r="BK123" s="83"/>
      <c r="BL123" s="83"/>
      <c r="BM123" s="83"/>
      <c r="BN123" s="84"/>
      <c r="BO123" s="84"/>
      <c r="BP123" s="129"/>
      <c r="BQ123" s="129"/>
      <c r="BR123" s="129"/>
      <c r="BS123" s="129"/>
      <c r="BT123" s="129"/>
      <c r="BU123" s="129"/>
      <c r="BV123" s="129"/>
      <c r="BW123" s="129"/>
      <c r="BX123" s="129"/>
    </row>
    <row r="124" spans="6:76" ht="21" customHeight="1"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  <c r="AI124" s="83"/>
      <c r="AJ124" s="83"/>
      <c r="AK124" s="83"/>
      <c r="AL124" s="83"/>
      <c r="AM124" s="83"/>
      <c r="AN124" s="83"/>
      <c r="AO124" s="83"/>
      <c r="AP124" s="83"/>
      <c r="AQ124" s="83"/>
      <c r="AR124" s="83"/>
      <c r="AS124" s="83"/>
      <c r="AT124" s="83"/>
      <c r="AU124" s="83"/>
      <c r="AV124" s="83"/>
      <c r="AW124" s="83"/>
      <c r="AX124" s="83"/>
      <c r="AY124" s="83"/>
      <c r="AZ124" s="83"/>
      <c r="BA124" s="83"/>
      <c r="BB124" s="83"/>
      <c r="BC124" s="83"/>
      <c r="BD124" s="83"/>
      <c r="BE124" s="83"/>
      <c r="BF124" s="83"/>
      <c r="BG124" s="83"/>
      <c r="BH124" s="83"/>
      <c r="BI124" s="83"/>
      <c r="BJ124" s="83"/>
      <c r="BK124" s="83"/>
      <c r="BL124" s="83"/>
      <c r="BM124" s="83"/>
      <c r="BN124" s="84"/>
      <c r="BO124" s="84"/>
      <c r="BP124" s="129"/>
      <c r="BQ124" s="129"/>
      <c r="BR124" s="129"/>
      <c r="BS124" s="129"/>
      <c r="BT124" s="129"/>
      <c r="BU124" s="129"/>
      <c r="BV124" s="129"/>
      <c r="BW124" s="129"/>
      <c r="BX124" s="129"/>
    </row>
    <row r="125" spans="6:76" ht="21" customHeight="1"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  <c r="AI125" s="83"/>
      <c r="AJ125" s="83"/>
      <c r="AK125" s="83"/>
      <c r="AL125" s="83"/>
      <c r="AM125" s="83"/>
      <c r="AN125" s="83"/>
      <c r="AO125" s="83"/>
      <c r="AP125" s="83"/>
      <c r="AQ125" s="83"/>
      <c r="AR125" s="83"/>
      <c r="AS125" s="83"/>
      <c r="AT125" s="83"/>
      <c r="AU125" s="83"/>
      <c r="AV125" s="83"/>
      <c r="AW125" s="83"/>
      <c r="AX125" s="83"/>
      <c r="AY125" s="83"/>
      <c r="AZ125" s="83"/>
      <c r="BA125" s="83"/>
      <c r="BB125" s="83"/>
      <c r="BC125" s="83"/>
      <c r="BD125" s="83"/>
      <c r="BE125" s="83"/>
      <c r="BF125" s="83"/>
      <c r="BG125" s="83"/>
      <c r="BH125" s="83"/>
      <c r="BI125" s="83"/>
      <c r="BJ125" s="83"/>
      <c r="BK125" s="83"/>
      <c r="BL125" s="83"/>
      <c r="BM125" s="83"/>
      <c r="BN125" s="84"/>
      <c r="BO125" s="84"/>
      <c r="BP125" s="129"/>
      <c r="BQ125" s="129"/>
      <c r="BR125" s="129"/>
      <c r="BS125" s="129"/>
      <c r="BT125" s="129"/>
      <c r="BU125" s="129"/>
      <c r="BV125" s="129"/>
      <c r="BW125" s="129"/>
      <c r="BX125" s="129"/>
    </row>
    <row r="126" spans="6:76" ht="21" customHeight="1"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4"/>
      <c r="BO126" s="84"/>
      <c r="BP126" s="129"/>
      <c r="BQ126" s="129"/>
      <c r="BR126" s="129"/>
      <c r="BS126" s="129"/>
      <c r="BT126" s="129"/>
      <c r="BU126" s="129"/>
      <c r="BV126" s="129"/>
      <c r="BW126" s="129"/>
      <c r="BX126" s="129"/>
    </row>
    <row r="127" spans="6:76" ht="21" customHeight="1"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  <c r="AI127" s="83"/>
      <c r="AJ127" s="83"/>
      <c r="AK127" s="83"/>
      <c r="AL127" s="83"/>
      <c r="AM127" s="83"/>
      <c r="AN127" s="83"/>
      <c r="AO127" s="83"/>
      <c r="AP127" s="83"/>
      <c r="AQ127" s="83"/>
      <c r="AR127" s="83"/>
      <c r="AS127" s="83"/>
      <c r="AT127" s="83"/>
      <c r="AU127" s="83"/>
      <c r="AV127" s="83"/>
      <c r="AW127" s="83"/>
      <c r="AX127" s="83"/>
      <c r="AY127" s="83"/>
      <c r="AZ127" s="83"/>
      <c r="BA127" s="83"/>
      <c r="BB127" s="83"/>
      <c r="BC127" s="83"/>
      <c r="BD127" s="83"/>
      <c r="BE127" s="83"/>
      <c r="BF127" s="83"/>
      <c r="BG127" s="83"/>
      <c r="BH127" s="83"/>
      <c r="BI127" s="83"/>
      <c r="BJ127" s="83"/>
      <c r="BK127" s="83"/>
      <c r="BL127" s="83"/>
      <c r="BM127" s="83"/>
      <c r="BN127" s="84"/>
      <c r="BO127" s="84"/>
      <c r="BP127" s="129"/>
      <c r="BQ127" s="129"/>
      <c r="BR127" s="129"/>
      <c r="BS127" s="129"/>
      <c r="BT127" s="129"/>
      <c r="BU127" s="129"/>
      <c r="BV127" s="129"/>
      <c r="BW127" s="129"/>
      <c r="BX127" s="129"/>
    </row>
    <row r="128" spans="6:76" ht="21" customHeight="1"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  <c r="AI128" s="83"/>
      <c r="AJ128" s="83"/>
      <c r="AK128" s="83"/>
      <c r="AL128" s="83"/>
      <c r="AM128" s="83"/>
      <c r="AN128" s="83"/>
      <c r="AO128" s="83"/>
      <c r="AP128" s="83"/>
      <c r="AQ128" s="83"/>
      <c r="AR128" s="83"/>
      <c r="AS128" s="83"/>
      <c r="AT128" s="83"/>
      <c r="AU128" s="83"/>
      <c r="AV128" s="83"/>
      <c r="AW128" s="83"/>
      <c r="AX128" s="83"/>
      <c r="AY128" s="83"/>
      <c r="AZ128" s="83"/>
      <c r="BA128" s="83"/>
      <c r="BB128" s="83"/>
      <c r="BC128" s="83"/>
      <c r="BD128" s="83"/>
      <c r="BE128" s="83"/>
      <c r="BF128" s="83"/>
      <c r="BG128" s="83"/>
      <c r="BH128" s="83"/>
      <c r="BI128" s="83"/>
      <c r="BJ128" s="83"/>
      <c r="BK128" s="83"/>
      <c r="BL128" s="83"/>
      <c r="BM128" s="83"/>
      <c r="BN128" s="84"/>
      <c r="BO128" s="84"/>
      <c r="BP128" s="129"/>
      <c r="BQ128" s="129"/>
      <c r="BR128" s="129"/>
      <c r="BS128" s="129"/>
      <c r="BT128" s="129"/>
      <c r="BU128" s="129"/>
      <c r="BV128" s="129"/>
      <c r="BW128" s="129"/>
      <c r="BX128" s="129"/>
    </row>
    <row r="129" spans="6:76" ht="21" customHeight="1"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3"/>
      <c r="AJ129" s="83"/>
      <c r="AK129" s="83"/>
      <c r="AL129" s="83"/>
      <c r="AM129" s="83"/>
      <c r="AN129" s="83"/>
      <c r="AO129" s="83"/>
      <c r="AP129" s="83"/>
      <c r="AQ129" s="83"/>
      <c r="AR129" s="83"/>
      <c r="AS129" s="83"/>
      <c r="AT129" s="83"/>
      <c r="AU129" s="83"/>
      <c r="AV129" s="83"/>
      <c r="AW129" s="83"/>
      <c r="AX129" s="83"/>
      <c r="AY129" s="83"/>
      <c r="AZ129" s="83"/>
      <c r="BA129" s="83"/>
      <c r="BB129" s="83"/>
      <c r="BC129" s="83"/>
      <c r="BD129" s="83"/>
      <c r="BE129" s="83"/>
      <c r="BF129" s="83"/>
      <c r="BG129" s="83"/>
      <c r="BH129" s="83"/>
      <c r="BI129" s="83"/>
      <c r="BJ129" s="83"/>
      <c r="BK129" s="83"/>
      <c r="BL129" s="83"/>
      <c r="BM129" s="83"/>
      <c r="BN129" s="84"/>
      <c r="BO129" s="84"/>
      <c r="BP129" s="129"/>
      <c r="BQ129" s="129"/>
      <c r="BR129" s="129"/>
      <c r="BS129" s="129"/>
      <c r="BT129" s="129"/>
      <c r="BU129" s="129"/>
      <c r="BV129" s="129"/>
      <c r="BW129" s="129"/>
      <c r="BX129" s="129"/>
    </row>
    <row r="130" spans="6:76" ht="21" customHeight="1"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3"/>
      <c r="AJ130" s="83"/>
      <c r="AK130" s="83"/>
      <c r="AL130" s="83"/>
      <c r="AM130" s="83"/>
      <c r="AN130" s="83"/>
      <c r="AO130" s="83"/>
      <c r="AP130" s="83"/>
      <c r="AQ130" s="83"/>
      <c r="AR130" s="83"/>
      <c r="AS130" s="83"/>
      <c r="AT130" s="83"/>
      <c r="AU130" s="83"/>
      <c r="AV130" s="83"/>
      <c r="AW130" s="83"/>
      <c r="AX130" s="83"/>
      <c r="AY130" s="83"/>
      <c r="AZ130" s="83"/>
      <c r="BA130" s="83"/>
      <c r="BB130" s="83"/>
      <c r="BC130" s="83"/>
      <c r="BD130" s="83"/>
      <c r="BE130" s="83"/>
      <c r="BF130" s="83"/>
      <c r="BG130" s="83"/>
      <c r="BH130" s="83"/>
      <c r="BI130" s="83"/>
      <c r="BJ130" s="83"/>
      <c r="BK130" s="83"/>
      <c r="BL130" s="83"/>
      <c r="BM130" s="83"/>
      <c r="BN130" s="84"/>
      <c r="BO130" s="84"/>
      <c r="BP130" s="129"/>
      <c r="BQ130" s="129"/>
      <c r="BR130" s="129"/>
      <c r="BS130" s="129"/>
      <c r="BT130" s="129"/>
      <c r="BU130" s="129"/>
      <c r="BV130" s="129"/>
      <c r="BW130" s="129"/>
      <c r="BX130" s="129"/>
    </row>
    <row r="131" spans="6:76" ht="21" customHeight="1"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3"/>
      <c r="AJ131" s="83"/>
      <c r="AK131" s="83"/>
      <c r="AL131" s="83"/>
      <c r="AM131" s="83"/>
      <c r="AN131" s="83"/>
      <c r="AO131" s="83"/>
      <c r="AP131" s="83"/>
      <c r="AQ131" s="83"/>
      <c r="AR131" s="83"/>
      <c r="AS131" s="83"/>
      <c r="AT131" s="83"/>
      <c r="AU131" s="83"/>
      <c r="AV131" s="83"/>
      <c r="AW131" s="83"/>
      <c r="AX131" s="83"/>
      <c r="AY131" s="83"/>
      <c r="AZ131" s="83"/>
      <c r="BA131" s="83"/>
      <c r="BB131" s="83"/>
      <c r="BC131" s="83"/>
      <c r="BD131" s="83"/>
      <c r="BE131" s="83"/>
      <c r="BF131" s="83"/>
      <c r="BG131" s="83"/>
      <c r="BH131" s="83"/>
      <c r="BI131" s="83"/>
      <c r="BJ131" s="83"/>
      <c r="BK131" s="83"/>
      <c r="BL131" s="83"/>
      <c r="BM131" s="83"/>
      <c r="BN131" s="84"/>
      <c r="BO131" s="84"/>
      <c r="BP131" s="129"/>
      <c r="BQ131" s="129"/>
      <c r="BR131" s="129"/>
      <c r="BS131" s="129"/>
      <c r="BT131" s="129"/>
      <c r="BU131" s="129"/>
      <c r="BV131" s="129"/>
      <c r="BW131" s="129"/>
      <c r="BX131" s="129"/>
    </row>
    <row r="132" spans="6:76" ht="21" customHeight="1"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3"/>
      <c r="AJ132" s="83"/>
      <c r="AK132" s="83"/>
      <c r="AL132" s="83"/>
      <c r="AM132" s="83"/>
      <c r="AN132" s="83"/>
      <c r="AO132" s="83"/>
      <c r="AP132" s="83"/>
      <c r="AQ132" s="83"/>
      <c r="AR132" s="83"/>
      <c r="AS132" s="83"/>
      <c r="AT132" s="83"/>
      <c r="AU132" s="83"/>
      <c r="AV132" s="83"/>
      <c r="AW132" s="83"/>
      <c r="AX132" s="83"/>
      <c r="AY132" s="83"/>
      <c r="AZ132" s="83"/>
      <c r="BA132" s="83"/>
      <c r="BB132" s="83"/>
      <c r="BC132" s="83"/>
      <c r="BD132" s="83"/>
      <c r="BE132" s="83"/>
      <c r="BF132" s="83"/>
      <c r="BG132" s="83"/>
      <c r="BH132" s="83"/>
      <c r="BI132" s="83"/>
      <c r="BJ132" s="83"/>
      <c r="BK132" s="83"/>
      <c r="BL132" s="83"/>
      <c r="BM132" s="83"/>
      <c r="BN132" s="84"/>
      <c r="BO132" s="84"/>
      <c r="BP132" s="129"/>
      <c r="BQ132" s="129"/>
      <c r="BR132" s="129"/>
      <c r="BS132" s="129"/>
      <c r="BT132" s="129"/>
      <c r="BU132" s="129"/>
      <c r="BV132" s="129"/>
      <c r="BW132" s="129"/>
      <c r="BX132" s="129"/>
    </row>
    <row r="133" spans="6:76" ht="21" customHeight="1"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3"/>
      <c r="AJ133" s="83"/>
      <c r="AK133" s="83"/>
      <c r="AL133" s="83"/>
      <c r="AM133" s="83"/>
      <c r="AN133" s="83"/>
      <c r="AO133" s="83"/>
      <c r="AP133" s="83"/>
      <c r="AQ133" s="83"/>
      <c r="AR133" s="83"/>
      <c r="AS133" s="83"/>
      <c r="AT133" s="83"/>
      <c r="AU133" s="83"/>
      <c r="AV133" s="83"/>
      <c r="AW133" s="83"/>
      <c r="AX133" s="83"/>
      <c r="AY133" s="83"/>
      <c r="AZ133" s="83"/>
      <c r="BA133" s="83"/>
      <c r="BB133" s="83"/>
      <c r="BC133" s="83"/>
      <c r="BD133" s="83"/>
      <c r="BE133" s="83"/>
      <c r="BF133" s="83"/>
      <c r="BG133" s="83"/>
      <c r="BH133" s="83"/>
      <c r="BI133" s="83"/>
      <c r="BJ133" s="83"/>
      <c r="BK133" s="83"/>
      <c r="BL133" s="83"/>
      <c r="BM133" s="83"/>
      <c r="BN133" s="84"/>
      <c r="BO133" s="84"/>
      <c r="BP133" s="129"/>
      <c r="BQ133" s="129"/>
      <c r="BR133" s="129"/>
      <c r="BS133" s="129"/>
      <c r="BT133" s="129"/>
      <c r="BU133" s="129"/>
      <c r="BV133" s="129"/>
      <c r="BW133" s="129"/>
      <c r="BX133" s="129"/>
    </row>
    <row r="134" spans="6:76" ht="21" customHeight="1"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4"/>
      <c r="BO134" s="84"/>
      <c r="BP134" s="129"/>
      <c r="BQ134" s="129"/>
      <c r="BR134" s="129"/>
      <c r="BS134" s="129"/>
      <c r="BT134" s="129"/>
      <c r="BU134" s="129"/>
      <c r="BV134" s="129"/>
      <c r="BW134" s="129"/>
      <c r="BX134" s="129"/>
    </row>
    <row r="135" spans="6:76" ht="21" customHeight="1"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  <c r="AI135" s="83"/>
      <c r="AJ135" s="83"/>
      <c r="AK135" s="83"/>
      <c r="AL135" s="83"/>
      <c r="AM135" s="83"/>
      <c r="AN135" s="83"/>
      <c r="AO135" s="83"/>
      <c r="AP135" s="83"/>
      <c r="AQ135" s="83"/>
      <c r="AR135" s="83"/>
      <c r="AS135" s="83"/>
      <c r="AT135" s="83"/>
      <c r="AU135" s="83"/>
      <c r="AV135" s="83"/>
      <c r="AW135" s="83"/>
      <c r="AX135" s="83"/>
      <c r="AY135" s="83"/>
      <c r="AZ135" s="83"/>
      <c r="BA135" s="83"/>
      <c r="BB135" s="83"/>
      <c r="BC135" s="83"/>
      <c r="BD135" s="83"/>
      <c r="BE135" s="83"/>
      <c r="BF135" s="83"/>
      <c r="BG135" s="83"/>
      <c r="BH135" s="83"/>
      <c r="BI135" s="83"/>
      <c r="BJ135" s="83"/>
      <c r="BK135" s="83"/>
      <c r="BL135" s="83"/>
      <c r="BM135" s="83"/>
      <c r="BN135" s="84"/>
      <c r="BO135" s="84"/>
      <c r="BP135" s="129"/>
      <c r="BQ135" s="129"/>
      <c r="BR135" s="129"/>
      <c r="BS135" s="129"/>
      <c r="BT135" s="129"/>
      <c r="BU135" s="129"/>
      <c r="BV135" s="129"/>
      <c r="BW135" s="129"/>
      <c r="BX135" s="129"/>
    </row>
    <row r="136" spans="6:76" ht="21" customHeight="1"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  <c r="AI136" s="83"/>
      <c r="AJ136" s="83"/>
      <c r="AK136" s="83"/>
      <c r="AL136" s="83"/>
      <c r="AM136" s="83"/>
      <c r="AN136" s="83"/>
      <c r="AO136" s="83"/>
      <c r="AP136" s="83"/>
      <c r="AQ136" s="83"/>
      <c r="AR136" s="83"/>
      <c r="AS136" s="83"/>
      <c r="AT136" s="83"/>
      <c r="AU136" s="83"/>
      <c r="AV136" s="83"/>
      <c r="AW136" s="83"/>
      <c r="AX136" s="83"/>
      <c r="AY136" s="83"/>
      <c r="AZ136" s="83"/>
      <c r="BA136" s="83"/>
      <c r="BB136" s="83"/>
      <c r="BC136" s="83"/>
      <c r="BD136" s="83"/>
      <c r="BE136" s="83"/>
      <c r="BF136" s="83"/>
      <c r="BG136" s="83"/>
      <c r="BH136" s="83"/>
      <c r="BI136" s="83"/>
      <c r="BJ136" s="83"/>
      <c r="BK136" s="83"/>
      <c r="BL136" s="83"/>
      <c r="BM136" s="83"/>
      <c r="BN136" s="84"/>
      <c r="BO136" s="84"/>
      <c r="BP136" s="129"/>
      <c r="BQ136" s="129"/>
      <c r="BR136" s="129"/>
      <c r="BS136" s="129"/>
      <c r="BT136" s="129"/>
      <c r="BU136" s="129"/>
      <c r="BV136" s="129"/>
      <c r="BW136" s="129"/>
      <c r="BX136" s="129"/>
    </row>
    <row r="137" spans="6:76" ht="21" customHeight="1"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  <c r="AI137" s="83"/>
      <c r="AJ137" s="83"/>
      <c r="AK137" s="83"/>
      <c r="AL137" s="83"/>
      <c r="AM137" s="83"/>
      <c r="AN137" s="83"/>
      <c r="AO137" s="83"/>
      <c r="AP137" s="83"/>
      <c r="AQ137" s="83"/>
      <c r="AR137" s="83"/>
      <c r="AS137" s="83"/>
      <c r="AT137" s="83"/>
      <c r="AU137" s="83"/>
      <c r="AV137" s="83"/>
      <c r="AW137" s="83"/>
      <c r="AX137" s="83"/>
      <c r="AY137" s="83"/>
      <c r="AZ137" s="83"/>
      <c r="BA137" s="83"/>
      <c r="BB137" s="83"/>
      <c r="BC137" s="83"/>
      <c r="BD137" s="83"/>
      <c r="BE137" s="83"/>
      <c r="BF137" s="83"/>
      <c r="BG137" s="83"/>
      <c r="BH137" s="83"/>
      <c r="BI137" s="83"/>
      <c r="BJ137" s="83"/>
      <c r="BK137" s="83"/>
      <c r="BL137" s="83"/>
      <c r="BM137" s="83"/>
      <c r="BN137" s="84"/>
      <c r="BO137" s="84"/>
      <c r="BP137" s="129"/>
      <c r="BQ137" s="129"/>
      <c r="BR137" s="129"/>
      <c r="BS137" s="129"/>
      <c r="BT137" s="129"/>
      <c r="BU137" s="129"/>
      <c r="BV137" s="129"/>
      <c r="BW137" s="129"/>
      <c r="BX137" s="129"/>
    </row>
    <row r="138" spans="6:76" ht="21" customHeight="1"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3"/>
      <c r="AJ138" s="83"/>
      <c r="AK138" s="83"/>
      <c r="AL138" s="83"/>
      <c r="AM138" s="83"/>
      <c r="AN138" s="83"/>
      <c r="AO138" s="83"/>
      <c r="AP138" s="83"/>
      <c r="AQ138" s="83"/>
      <c r="AR138" s="83"/>
      <c r="AS138" s="83"/>
      <c r="AT138" s="83"/>
      <c r="AU138" s="83"/>
      <c r="AV138" s="83"/>
      <c r="AW138" s="83"/>
      <c r="AX138" s="83"/>
      <c r="AY138" s="83"/>
      <c r="AZ138" s="83"/>
      <c r="BA138" s="83"/>
      <c r="BB138" s="83"/>
      <c r="BC138" s="83"/>
      <c r="BD138" s="83"/>
      <c r="BE138" s="83"/>
      <c r="BF138" s="83"/>
      <c r="BG138" s="83"/>
      <c r="BH138" s="83"/>
      <c r="BI138" s="83"/>
      <c r="BJ138" s="83"/>
      <c r="BK138" s="83"/>
      <c r="BL138" s="83"/>
      <c r="BM138" s="83"/>
      <c r="BN138" s="84"/>
      <c r="BO138" s="84"/>
      <c r="BP138" s="129"/>
      <c r="BQ138" s="129"/>
      <c r="BR138" s="129"/>
      <c r="BS138" s="129"/>
      <c r="BT138" s="129"/>
      <c r="BU138" s="129"/>
      <c r="BV138" s="129"/>
      <c r="BW138" s="129"/>
      <c r="BX138" s="129"/>
    </row>
    <row r="139" spans="6:76" ht="21" customHeight="1"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3"/>
      <c r="AJ139" s="83"/>
      <c r="AK139" s="83"/>
      <c r="AL139" s="83"/>
      <c r="AM139" s="83"/>
      <c r="AN139" s="83"/>
      <c r="AO139" s="83"/>
      <c r="AP139" s="83"/>
      <c r="AQ139" s="83"/>
      <c r="AR139" s="83"/>
      <c r="AS139" s="83"/>
      <c r="AT139" s="83"/>
      <c r="AU139" s="83"/>
      <c r="AV139" s="83"/>
      <c r="AW139" s="83"/>
      <c r="AX139" s="83"/>
      <c r="AY139" s="83"/>
      <c r="AZ139" s="83"/>
      <c r="BA139" s="83"/>
      <c r="BB139" s="83"/>
      <c r="BC139" s="83"/>
      <c r="BD139" s="83"/>
      <c r="BE139" s="83"/>
      <c r="BF139" s="83"/>
      <c r="BG139" s="83"/>
      <c r="BH139" s="83"/>
      <c r="BI139" s="83"/>
      <c r="BJ139" s="83"/>
      <c r="BK139" s="83"/>
      <c r="BL139" s="83"/>
      <c r="BM139" s="83"/>
      <c r="BN139" s="84"/>
      <c r="BO139" s="84"/>
      <c r="BP139" s="129"/>
      <c r="BQ139" s="129"/>
      <c r="BR139" s="129"/>
      <c r="BS139" s="129"/>
      <c r="BT139" s="129"/>
      <c r="BU139" s="129"/>
      <c r="BV139" s="129"/>
      <c r="BW139" s="129"/>
      <c r="BX139" s="129"/>
    </row>
    <row r="140" spans="6:76" ht="21" customHeight="1"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3"/>
      <c r="AJ140" s="83"/>
      <c r="AK140" s="83"/>
      <c r="AL140" s="83"/>
      <c r="AM140" s="83"/>
      <c r="AN140" s="83"/>
      <c r="AO140" s="83"/>
      <c r="AP140" s="83"/>
      <c r="AQ140" s="83"/>
      <c r="AR140" s="83"/>
      <c r="AS140" s="83"/>
      <c r="AT140" s="83"/>
      <c r="AU140" s="83"/>
      <c r="AV140" s="83"/>
      <c r="AW140" s="83"/>
      <c r="AX140" s="83"/>
      <c r="AY140" s="83"/>
      <c r="AZ140" s="83"/>
      <c r="BA140" s="83"/>
      <c r="BB140" s="83"/>
      <c r="BC140" s="83"/>
      <c r="BD140" s="83"/>
      <c r="BE140" s="83"/>
      <c r="BF140" s="83"/>
      <c r="BG140" s="83"/>
      <c r="BH140" s="83"/>
      <c r="BI140" s="83"/>
      <c r="BJ140" s="83"/>
      <c r="BK140" s="83"/>
      <c r="BL140" s="83"/>
      <c r="BM140" s="83"/>
      <c r="BN140" s="84"/>
      <c r="BO140" s="84"/>
      <c r="BP140" s="129"/>
      <c r="BQ140" s="129"/>
      <c r="BR140" s="129"/>
      <c r="BS140" s="129"/>
      <c r="BT140" s="129"/>
      <c r="BU140" s="129"/>
      <c r="BV140" s="129"/>
      <c r="BW140" s="129"/>
      <c r="BX140" s="129"/>
    </row>
    <row r="141" spans="6:76" ht="21" customHeight="1"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3"/>
      <c r="AJ141" s="83"/>
      <c r="AK141" s="83"/>
      <c r="AL141" s="83"/>
      <c r="AM141" s="83"/>
      <c r="AN141" s="83"/>
      <c r="AO141" s="83"/>
      <c r="AP141" s="83"/>
      <c r="AQ141" s="83"/>
      <c r="AR141" s="83"/>
      <c r="AS141" s="83"/>
      <c r="AT141" s="83"/>
      <c r="AU141" s="83"/>
      <c r="AV141" s="83"/>
      <c r="AW141" s="83"/>
      <c r="AX141" s="83"/>
      <c r="AY141" s="83"/>
      <c r="AZ141" s="83"/>
      <c r="BA141" s="83"/>
      <c r="BB141" s="83"/>
      <c r="BC141" s="83"/>
      <c r="BD141" s="83"/>
      <c r="BE141" s="83"/>
      <c r="BF141" s="83"/>
      <c r="BG141" s="83"/>
      <c r="BH141" s="83"/>
      <c r="BI141" s="83"/>
      <c r="BJ141" s="83"/>
      <c r="BK141" s="83"/>
      <c r="BL141" s="83"/>
      <c r="BM141" s="83"/>
      <c r="BN141" s="84"/>
      <c r="BO141" s="84"/>
      <c r="BP141" s="129"/>
      <c r="BQ141" s="129"/>
      <c r="BR141" s="129"/>
      <c r="BS141" s="129"/>
      <c r="BT141" s="129"/>
      <c r="BU141" s="129"/>
      <c r="BV141" s="129"/>
      <c r="BW141" s="129"/>
      <c r="BX141" s="129"/>
    </row>
    <row r="142" spans="6:76" ht="21" customHeight="1"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4"/>
      <c r="BO142" s="84"/>
      <c r="BP142" s="129"/>
      <c r="BQ142" s="129"/>
      <c r="BR142" s="129"/>
      <c r="BS142" s="129"/>
      <c r="BT142" s="129"/>
      <c r="BU142" s="129"/>
      <c r="BV142" s="129"/>
      <c r="BW142" s="129"/>
      <c r="BX142" s="129"/>
    </row>
    <row r="143" spans="6:76" ht="21" customHeight="1"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  <c r="AI143" s="83"/>
      <c r="AJ143" s="83"/>
      <c r="AK143" s="83"/>
      <c r="AL143" s="83"/>
      <c r="AM143" s="83"/>
      <c r="AN143" s="83"/>
      <c r="AO143" s="83"/>
      <c r="AP143" s="83"/>
      <c r="AQ143" s="83"/>
      <c r="AR143" s="83"/>
      <c r="AS143" s="83"/>
      <c r="AT143" s="83"/>
      <c r="AU143" s="83"/>
      <c r="AV143" s="83"/>
      <c r="AW143" s="83"/>
      <c r="AX143" s="83"/>
      <c r="AY143" s="83"/>
      <c r="AZ143" s="83"/>
      <c r="BA143" s="83"/>
      <c r="BB143" s="83"/>
      <c r="BC143" s="83"/>
      <c r="BD143" s="83"/>
      <c r="BE143" s="83"/>
      <c r="BF143" s="83"/>
      <c r="BG143" s="83"/>
      <c r="BH143" s="83"/>
      <c r="BI143" s="83"/>
      <c r="BJ143" s="83"/>
      <c r="BK143" s="83"/>
      <c r="BL143" s="83"/>
      <c r="BM143" s="83"/>
      <c r="BN143" s="84"/>
      <c r="BO143" s="84"/>
      <c r="BP143" s="129"/>
      <c r="BQ143" s="129"/>
      <c r="BR143" s="129"/>
      <c r="BS143" s="129"/>
      <c r="BT143" s="129"/>
      <c r="BU143" s="129"/>
      <c r="BV143" s="129"/>
      <c r="BW143" s="129"/>
      <c r="BX143" s="129"/>
    </row>
    <row r="144" spans="6:76" ht="21" customHeight="1"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  <c r="AI144" s="83"/>
      <c r="AJ144" s="83"/>
      <c r="AK144" s="83"/>
      <c r="AL144" s="83"/>
      <c r="AM144" s="83"/>
      <c r="AN144" s="83"/>
      <c r="AO144" s="83"/>
      <c r="AP144" s="83"/>
      <c r="AQ144" s="83"/>
      <c r="AR144" s="83"/>
      <c r="AS144" s="83"/>
      <c r="AT144" s="83"/>
      <c r="AU144" s="83"/>
      <c r="AV144" s="83"/>
      <c r="AW144" s="83"/>
      <c r="AX144" s="83"/>
      <c r="AY144" s="83"/>
      <c r="AZ144" s="83"/>
      <c r="BA144" s="83"/>
      <c r="BB144" s="83"/>
      <c r="BC144" s="83"/>
      <c r="BD144" s="83"/>
      <c r="BE144" s="83"/>
      <c r="BF144" s="83"/>
      <c r="BG144" s="83"/>
      <c r="BH144" s="83"/>
      <c r="BI144" s="83"/>
      <c r="BJ144" s="83"/>
      <c r="BK144" s="83"/>
      <c r="BL144" s="83"/>
      <c r="BM144" s="83"/>
      <c r="BN144" s="84"/>
      <c r="BO144" s="84"/>
      <c r="BP144" s="129"/>
      <c r="BQ144" s="129"/>
      <c r="BR144" s="129"/>
      <c r="BS144" s="129"/>
      <c r="BT144" s="129"/>
      <c r="BU144" s="129"/>
      <c r="BV144" s="129"/>
      <c r="BW144" s="129"/>
      <c r="BX144" s="129"/>
    </row>
    <row r="145" spans="6:76" ht="21" customHeight="1"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  <c r="AI145" s="83"/>
      <c r="AJ145" s="83"/>
      <c r="AK145" s="83"/>
      <c r="AL145" s="83"/>
      <c r="AM145" s="83"/>
      <c r="AN145" s="83"/>
      <c r="AO145" s="83"/>
      <c r="AP145" s="83"/>
      <c r="AQ145" s="83"/>
      <c r="AR145" s="83"/>
      <c r="AS145" s="83"/>
      <c r="AT145" s="83"/>
      <c r="AU145" s="83"/>
      <c r="AV145" s="83"/>
      <c r="AW145" s="83"/>
      <c r="AX145" s="83"/>
      <c r="AY145" s="83"/>
      <c r="AZ145" s="83"/>
      <c r="BA145" s="83"/>
      <c r="BB145" s="83"/>
      <c r="BC145" s="83"/>
      <c r="BD145" s="83"/>
      <c r="BE145" s="83"/>
      <c r="BF145" s="83"/>
      <c r="BG145" s="83"/>
      <c r="BH145" s="83"/>
      <c r="BI145" s="83"/>
      <c r="BJ145" s="83"/>
      <c r="BK145" s="83"/>
      <c r="BL145" s="83"/>
      <c r="BM145" s="83"/>
      <c r="BN145" s="84"/>
      <c r="BO145" s="84"/>
      <c r="BP145" s="129"/>
      <c r="BQ145" s="129"/>
      <c r="BR145" s="129"/>
      <c r="BS145" s="129"/>
      <c r="BT145" s="129"/>
      <c r="BU145" s="129"/>
      <c r="BV145" s="129"/>
      <c r="BW145" s="129"/>
      <c r="BX145" s="129"/>
    </row>
    <row r="146" spans="6:76" ht="21" customHeight="1"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  <c r="AI146" s="83"/>
      <c r="AJ146" s="83"/>
      <c r="AK146" s="83"/>
      <c r="AL146" s="83"/>
      <c r="AM146" s="83"/>
      <c r="AN146" s="83"/>
      <c r="AO146" s="83"/>
      <c r="AP146" s="83"/>
      <c r="AQ146" s="83"/>
      <c r="AR146" s="83"/>
      <c r="AS146" s="83"/>
      <c r="AT146" s="83"/>
      <c r="AU146" s="83"/>
      <c r="AV146" s="83"/>
      <c r="AW146" s="83"/>
      <c r="AX146" s="83"/>
      <c r="AY146" s="83"/>
      <c r="AZ146" s="83"/>
      <c r="BA146" s="83"/>
      <c r="BB146" s="83"/>
      <c r="BC146" s="83"/>
      <c r="BD146" s="83"/>
      <c r="BE146" s="83"/>
      <c r="BF146" s="83"/>
      <c r="BG146" s="83"/>
      <c r="BH146" s="83"/>
      <c r="BI146" s="83"/>
      <c r="BJ146" s="83"/>
      <c r="BK146" s="83"/>
      <c r="BL146" s="83"/>
      <c r="BM146" s="83"/>
      <c r="BN146" s="84"/>
      <c r="BO146" s="84"/>
      <c r="BP146" s="129"/>
      <c r="BQ146" s="129"/>
      <c r="BR146" s="129"/>
      <c r="BS146" s="129"/>
      <c r="BT146" s="129"/>
      <c r="BU146" s="129"/>
      <c r="BV146" s="129"/>
      <c r="BW146" s="129"/>
      <c r="BX146" s="129"/>
    </row>
    <row r="147" spans="6:76" ht="21" customHeight="1"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  <c r="AI147" s="83"/>
      <c r="AJ147" s="83"/>
      <c r="AK147" s="83"/>
      <c r="AL147" s="83"/>
      <c r="AM147" s="83"/>
      <c r="AN147" s="83"/>
      <c r="AO147" s="83"/>
      <c r="AP147" s="83"/>
      <c r="AQ147" s="83"/>
      <c r="AR147" s="83"/>
      <c r="AS147" s="83"/>
      <c r="AT147" s="83"/>
      <c r="AU147" s="83"/>
      <c r="AV147" s="83"/>
      <c r="AW147" s="83"/>
      <c r="AX147" s="83"/>
      <c r="AY147" s="83"/>
      <c r="AZ147" s="83"/>
      <c r="BA147" s="83"/>
      <c r="BB147" s="83"/>
      <c r="BC147" s="83"/>
      <c r="BD147" s="83"/>
      <c r="BE147" s="83"/>
      <c r="BF147" s="83"/>
      <c r="BG147" s="83"/>
      <c r="BH147" s="83"/>
      <c r="BI147" s="83"/>
      <c r="BJ147" s="83"/>
      <c r="BK147" s="83"/>
      <c r="BL147" s="83"/>
      <c r="BM147" s="83"/>
      <c r="BN147" s="84"/>
      <c r="BO147" s="84"/>
      <c r="BP147" s="129"/>
      <c r="BQ147" s="129"/>
      <c r="BR147" s="129"/>
      <c r="BS147" s="129"/>
      <c r="BT147" s="129"/>
      <c r="BU147" s="129"/>
      <c r="BV147" s="129"/>
      <c r="BW147" s="129"/>
      <c r="BX147" s="129"/>
    </row>
    <row r="148" spans="6:76" ht="21" customHeight="1"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  <c r="AI148" s="83"/>
      <c r="AJ148" s="83"/>
      <c r="AK148" s="83"/>
      <c r="AL148" s="83"/>
      <c r="AM148" s="83"/>
      <c r="AN148" s="83"/>
      <c r="AO148" s="83"/>
      <c r="AP148" s="83"/>
      <c r="AQ148" s="83"/>
      <c r="AR148" s="83"/>
      <c r="AS148" s="83"/>
      <c r="AT148" s="83"/>
      <c r="AU148" s="83"/>
      <c r="AV148" s="83"/>
      <c r="AW148" s="83"/>
      <c r="AX148" s="83"/>
      <c r="AY148" s="83"/>
      <c r="AZ148" s="83"/>
      <c r="BA148" s="83"/>
      <c r="BB148" s="83"/>
      <c r="BC148" s="83"/>
      <c r="BD148" s="83"/>
      <c r="BE148" s="83"/>
      <c r="BF148" s="83"/>
      <c r="BG148" s="83"/>
      <c r="BH148" s="83"/>
      <c r="BI148" s="83"/>
      <c r="BJ148" s="83"/>
      <c r="BK148" s="83"/>
      <c r="BL148" s="83"/>
      <c r="BM148" s="83"/>
      <c r="BN148" s="84"/>
      <c r="BO148" s="84"/>
      <c r="BP148" s="129"/>
      <c r="BQ148" s="129"/>
      <c r="BR148" s="129"/>
      <c r="BS148" s="129"/>
      <c r="BT148" s="129"/>
      <c r="BU148" s="129"/>
      <c r="BV148" s="129"/>
      <c r="BW148" s="129"/>
      <c r="BX148" s="129"/>
    </row>
    <row r="149" spans="6:76" ht="21" customHeight="1"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  <c r="AI149" s="83"/>
      <c r="AJ149" s="83"/>
      <c r="AK149" s="83"/>
      <c r="AL149" s="83"/>
      <c r="AM149" s="83"/>
      <c r="AN149" s="83"/>
      <c r="AO149" s="83"/>
      <c r="AP149" s="83"/>
      <c r="AQ149" s="83"/>
      <c r="AR149" s="83"/>
      <c r="AS149" s="83"/>
      <c r="AT149" s="83"/>
      <c r="AU149" s="83"/>
      <c r="AV149" s="83"/>
      <c r="AW149" s="83"/>
      <c r="AX149" s="83"/>
      <c r="AY149" s="83"/>
      <c r="AZ149" s="83"/>
      <c r="BA149" s="83"/>
      <c r="BB149" s="83"/>
      <c r="BC149" s="83"/>
      <c r="BD149" s="83"/>
      <c r="BE149" s="83"/>
      <c r="BF149" s="83"/>
      <c r="BG149" s="83"/>
      <c r="BH149" s="83"/>
      <c r="BI149" s="83"/>
      <c r="BJ149" s="83"/>
      <c r="BK149" s="83"/>
      <c r="BL149" s="83"/>
      <c r="BM149" s="83"/>
      <c r="BN149" s="84"/>
      <c r="BO149" s="84"/>
      <c r="BP149" s="129"/>
      <c r="BQ149" s="129"/>
      <c r="BR149" s="129"/>
      <c r="BS149" s="129"/>
      <c r="BT149" s="129"/>
      <c r="BU149" s="129"/>
      <c r="BV149" s="129"/>
      <c r="BW149" s="129"/>
      <c r="BX149" s="129"/>
    </row>
    <row r="150" spans="6:76" ht="21" customHeight="1"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4"/>
      <c r="BO150" s="84"/>
      <c r="BP150" s="129"/>
      <c r="BQ150" s="129"/>
      <c r="BR150" s="129"/>
      <c r="BS150" s="129"/>
      <c r="BT150" s="129"/>
      <c r="BU150" s="129"/>
      <c r="BV150" s="129"/>
      <c r="BW150" s="129"/>
      <c r="BX150" s="129"/>
    </row>
    <row r="151" spans="6:76" ht="21" customHeight="1"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3"/>
      <c r="AJ151" s="83"/>
      <c r="AK151" s="83"/>
      <c r="AL151" s="83"/>
      <c r="AM151" s="83"/>
      <c r="AN151" s="83"/>
      <c r="AO151" s="83"/>
      <c r="AP151" s="83"/>
      <c r="AQ151" s="83"/>
      <c r="AR151" s="83"/>
      <c r="AS151" s="83"/>
      <c r="AT151" s="83"/>
      <c r="AU151" s="83"/>
      <c r="AV151" s="83"/>
      <c r="AW151" s="83"/>
      <c r="AX151" s="83"/>
      <c r="AY151" s="83"/>
      <c r="AZ151" s="83"/>
      <c r="BA151" s="83"/>
      <c r="BB151" s="83"/>
      <c r="BC151" s="83"/>
      <c r="BD151" s="83"/>
      <c r="BE151" s="83"/>
      <c r="BF151" s="83"/>
      <c r="BG151" s="83"/>
      <c r="BH151" s="83"/>
      <c r="BI151" s="83"/>
      <c r="BJ151" s="83"/>
      <c r="BK151" s="83"/>
      <c r="BL151" s="83"/>
      <c r="BM151" s="83"/>
      <c r="BN151" s="84"/>
      <c r="BO151" s="84"/>
      <c r="BP151" s="129"/>
      <c r="BQ151" s="129"/>
      <c r="BR151" s="129"/>
      <c r="BS151" s="129"/>
      <c r="BT151" s="129"/>
      <c r="BU151" s="129"/>
      <c r="BV151" s="129"/>
      <c r="BW151" s="129"/>
      <c r="BX151" s="129"/>
    </row>
    <row r="152" spans="6:76" ht="21" customHeight="1"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3"/>
      <c r="AJ152" s="83"/>
      <c r="AK152" s="83"/>
      <c r="AL152" s="83"/>
      <c r="AM152" s="83"/>
      <c r="AN152" s="83"/>
      <c r="AO152" s="83"/>
      <c r="AP152" s="83"/>
      <c r="AQ152" s="83"/>
      <c r="AR152" s="83"/>
      <c r="AS152" s="83"/>
      <c r="AT152" s="83"/>
      <c r="AU152" s="83"/>
      <c r="AV152" s="83"/>
      <c r="AW152" s="83"/>
      <c r="AX152" s="83"/>
      <c r="AY152" s="83"/>
      <c r="AZ152" s="83"/>
      <c r="BA152" s="83"/>
      <c r="BB152" s="83"/>
      <c r="BC152" s="83"/>
      <c r="BD152" s="83"/>
      <c r="BE152" s="83"/>
      <c r="BF152" s="83"/>
      <c r="BG152" s="83"/>
      <c r="BH152" s="83"/>
      <c r="BI152" s="83"/>
      <c r="BJ152" s="83"/>
      <c r="BK152" s="83"/>
      <c r="BL152" s="83"/>
      <c r="BM152" s="83"/>
      <c r="BN152" s="84"/>
      <c r="BO152" s="84"/>
      <c r="BP152" s="129"/>
      <c r="BQ152" s="129"/>
      <c r="BR152" s="129"/>
      <c r="BS152" s="129"/>
      <c r="BT152" s="129"/>
      <c r="BU152" s="129"/>
      <c r="BV152" s="129"/>
      <c r="BW152" s="129"/>
      <c r="BX152" s="129"/>
    </row>
    <row r="153" spans="6:76" ht="21" customHeight="1"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3"/>
      <c r="AJ153" s="83"/>
      <c r="AK153" s="83"/>
      <c r="AL153" s="83"/>
      <c r="AM153" s="83"/>
      <c r="AN153" s="83"/>
      <c r="AO153" s="83"/>
      <c r="AP153" s="83"/>
      <c r="AQ153" s="83"/>
      <c r="AR153" s="83"/>
      <c r="AS153" s="83"/>
      <c r="AT153" s="83"/>
      <c r="AU153" s="83"/>
      <c r="AV153" s="83"/>
      <c r="AW153" s="83"/>
      <c r="AX153" s="83"/>
      <c r="AY153" s="83"/>
      <c r="AZ153" s="83"/>
      <c r="BA153" s="83"/>
      <c r="BB153" s="83"/>
      <c r="BC153" s="83"/>
      <c r="BD153" s="83"/>
      <c r="BE153" s="83"/>
      <c r="BF153" s="83"/>
      <c r="BG153" s="83"/>
      <c r="BH153" s="83"/>
      <c r="BI153" s="83"/>
      <c r="BJ153" s="83"/>
      <c r="BK153" s="83"/>
      <c r="BL153" s="83"/>
      <c r="BM153" s="83"/>
      <c r="BN153" s="84"/>
      <c r="BO153" s="84"/>
      <c r="BP153" s="129"/>
      <c r="BQ153" s="129"/>
      <c r="BR153" s="129"/>
      <c r="BS153" s="129"/>
      <c r="BT153" s="129"/>
      <c r="BU153" s="129"/>
      <c r="BV153" s="129"/>
      <c r="BW153" s="129"/>
      <c r="BX153" s="129"/>
    </row>
    <row r="154" spans="6:76" ht="21" customHeight="1"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3"/>
      <c r="AJ154" s="83"/>
      <c r="AK154" s="83"/>
      <c r="AL154" s="83"/>
      <c r="AM154" s="83"/>
      <c r="AN154" s="83"/>
      <c r="AO154" s="83"/>
      <c r="AP154" s="83"/>
      <c r="AQ154" s="83"/>
      <c r="AR154" s="83"/>
      <c r="AS154" s="83"/>
      <c r="AT154" s="83"/>
      <c r="AU154" s="83"/>
      <c r="AV154" s="83"/>
      <c r="AW154" s="83"/>
      <c r="AX154" s="83"/>
      <c r="AY154" s="83"/>
      <c r="AZ154" s="83"/>
      <c r="BA154" s="83"/>
      <c r="BB154" s="83"/>
      <c r="BC154" s="83"/>
      <c r="BD154" s="83"/>
      <c r="BE154" s="83"/>
      <c r="BF154" s="83"/>
      <c r="BG154" s="83"/>
      <c r="BH154" s="83"/>
      <c r="BI154" s="83"/>
      <c r="BJ154" s="83"/>
      <c r="BK154" s="83"/>
      <c r="BL154" s="83"/>
      <c r="BM154" s="83"/>
      <c r="BN154" s="84"/>
      <c r="BO154" s="84"/>
      <c r="BP154" s="129"/>
      <c r="BQ154" s="129"/>
      <c r="BR154" s="129"/>
      <c r="BS154" s="129"/>
      <c r="BT154" s="129"/>
      <c r="BU154" s="129"/>
      <c r="BV154" s="129"/>
      <c r="BW154" s="129"/>
      <c r="BX154" s="129"/>
    </row>
    <row r="155" spans="6:76" ht="21" customHeight="1"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3"/>
      <c r="AN155" s="83"/>
      <c r="AO155" s="83"/>
      <c r="AP155" s="83"/>
      <c r="AQ155" s="83"/>
      <c r="AR155" s="83"/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  <c r="BD155" s="83"/>
      <c r="BE155" s="83"/>
      <c r="BF155" s="83"/>
      <c r="BG155" s="83"/>
      <c r="BH155" s="83"/>
      <c r="BI155" s="83"/>
      <c r="BJ155" s="83"/>
      <c r="BK155" s="83"/>
      <c r="BL155" s="83"/>
      <c r="BM155" s="83"/>
      <c r="BN155" s="84"/>
      <c r="BO155" s="84"/>
      <c r="BP155" s="129"/>
      <c r="BQ155" s="129"/>
      <c r="BR155" s="129"/>
      <c r="BS155" s="129"/>
      <c r="BT155" s="129"/>
      <c r="BU155" s="129"/>
      <c r="BV155" s="129"/>
      <c r="BW155" s="129"/>
      <c r="BX155" s="129"/>
    </row>
    <row r="156" spans="6:76" ht="21" customHeight="1"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  <c r="AI156" s="83"/>
      <c r="AJ156" s="83"/>
      <c r="AK156" s="83"/>
      <c r="AL156" s="83"/>
      <c r="AM156" s="83"/>
      <c r="AN156" s="83"/>
      <c r="AO156" s="83"/>
      <c r="AP156" s="83"/>
      <c r="AQ156" s="83"/>
      <c r="AR156" s="83"/>
      <c r="AS156" s="83"/>
      <c r="AT156" s="83"/>
      <c r="AU156" s="83"/>
      <c r="AV156" s="83"/>
      <c r="AW156" s="83"/>
      <c r="AX156" s="83"/>
      <c r="AY156" s="83"/>
      <c r="AZ156" s="83"/>
      <c r="BA156" s="83"/>
      <c r="BB156" s="83"/>
      <c r="BC156" s="83"/>
      <c r="BD156" s="83"/>
      <c r="BE156" s="83"/>
      <c r="BF156" s="83"/>
      <c r="BG156" s="83"/>
      <c r="BH156" s="83"/>
      <c r="BI156" s="83"/>
      <c r="BJ156" s="83"/>
      <c r="BK156" s="83"/>
      <c r="BL156" s="83"/>
      <c r="BM156" s="83"/>
      <c r="BN156" s="84"/>
      <c r="BO156" s="84"/>
      <c r="BP156" s="129"/>
      <c r="BQ156" s="129"/>
      <c r="BR156" s="129"/>
      <c r="BS156" s="129"/>
      <c r="BT156" s="129"/>
      <c r="BU156" s="129"/>
      <c r="BV156" s="129"/>
      <c r="BW156" s="129"/>
      <c r="BX156" s="129"/>
    </row>
    <row r="157" spans="6:76" ht="21" customHeight="1"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  <c r="AI157" s="83"/>
      <c r="AJ157" s="83"/>
      <c r="AK157" s="83"/>
      <c r="AL157" s="83"/>
      <c r="AM157" s="83"/>
      <c r="AN157" s="83"/>
      <c r="AO157" s="83"/>
      <c r="AP157" s="83"/>
      <c r="AQ157" s="83"/>
      <c r="AR157" s="83"/>
      <c r="AS157" s="83"/>
      <c r="AT157" s="83"/>
      <c r="AU157" s="83"/>
      <c r="AV157" s="83"/>
      <c r="AW157" s="83"/>
      <c r="AX157" s="83"/>
      <c r="AY157" s="83"/>
      <c r="AZ157" s="83"/>
      <c r="BA157" s="83"/>
      <c r="BB157" s="83"/>
      <c r="BC157" s="83"/>
      <c r="BD157" s="83"/>
      <c r="BE157" s="83"/>
      <c r="BF157" s="83"/>
      <c r="BG157" s="83"/>
      <c r="BH157" s="83"/>
      <c r="BI157" s="83"/>
      <c r="BJ157" s="83"/>
      <c r="BK157" s="83"/>
      <c r="BL157" s="83"/>
      <c r="BM157" s="83"/>
      <c r="BN157" s="84"/>
      <c r="BO157" s="84"/>
      <c r="BP157" s="129"/>
      <c r="BQ157" s="129"/>
      <c r="BR157" s="129"/>
      <c r="BS157" s="129"/>
      <c r="BT157" s="129"/>
      <c r="BU157" s="129"/>
      <c r="BV157" s="129"/>
      <c r="BW157" s="129"/>
      <c r="BX157" s="129"/>
    </row>
    <row r="158" spans="6:76" ht="21" customHeight="1"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4"/>
      <c r="BO158" s="84"/>
      <c r="BP158" s="129"/>
      <c r="BQ158" s="129"/>
      <c r="BR158" s="129"/>
      <c r="BS158" s="129"/>
      <c r="BT158" s="129"/>
      <c r="BU158" s="129"/>
      <c r="BV158" s="129"/>
      <c r="BW158" s="129"/>
      <c r="BX158" s="129"/>
    </row>
    <row r="159" spans="6:76" ht="21" customHeight="1"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  <c r="AI159" s="83"/>
      <c r="AJ159" s="83"/>
      <c r="AK159" s="83"/>
      <c r="AL159" s="83"/>
      <c r="AM159" s="83"/>
      <c r="AN159" s="83"/>
      <c r="AO159" s="83"/>
      <c r="AP159" s="83"/>
      <c r="AQ159" s="83"/>
      <c r="AR159" s="83"/>
      <c r="AS159" s="83"/>
      <c r="AT159" s="83"/>
      <c r="AU159" s="83"/>
      <c r="AV159" s="83"/>
      <c r="AW159" s="83"/>
      <c r="AX159" s="83"/>
      <c r="AY159" s="83"/>
      <c r="AZ159" s="83"/>
      <c r="BA159" s="83"/>
      <c r="BB159" s="83"/>
      <c r="BC159" s="83"/>
      <c r="BD159" s="83"/>
      <c r="BE159" s="83"/>
      <c r="BF159" s="83"/>
      <c r="BG159" s="83"/>
      <c r="BH159" s="83"/>
      <c r="BI159" s="83"/>
      <c r="BJ159" s="83"/>
      <c r="BK159" s="83"/>
      <c r="BL159" s="83"/>
      <c r="BM159" s="83"/>
      <c r="BN159" s="84"/>
      <c r="BO159" s="84"/>
      <c r="BP159" s="129"/>
      <c r="BQ159" s="129"/>
      <c r="BR159" s="129"/>
      <c r="BS159" s="129"/>
      <c r="BT159" s="129"/>
      <c r="BU159" s="129"/>
      <c r="BV159" s="129"/>
      <c r="BW159" s="129"/>
      <c r="BX159" s="129"/>
    </row>
    <row r="160" spans="6:76" ht="21" customHeight="1"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  <c r="AI160" s="83"/>
      <c r="AJ160" s="83"/>
      <c r="AK160" s="83"/>
      <c r="AL160" s="83"/>
      <c r="AM160" s="83"/>
      <c r="AN160" s="83"/>
      <c r="AO160" s="83"/>
      <c r="AP160" s="83"/>
      <c r="AQ160" s="83"/>
      <c r="AR160" s="83"/>
      <c r="AS160" s="83"/>
      <c r="AT160" s="83"/>
      <c r="AU160" s="83"/>
      <c r="AV160" s="83"/>
      <c r="AW160" s="83"/>
      <c r="AX160" s="83"/>
      <c r="AY160" s="83"/>
      <c r="AZ160" s="83"/>
      <c r="BA160" s="83"/>
      <c r="BB160" s="83"/>
      <c r="BC160" s="83"/>
      <c r="BD160" s="83"/>
      <c r="BE160" s="83"/>
      <c r="BF160" s="83"/>
      <c r="BG160" s="83"/>
      <c r="BH160" s="83"/>
      <c r="BI160" s="83"/>
      <c r="BJ160" s="83"/>
      <c r="BK160" s="83"/>
      <c r="BL160" s="83"/>
      <c r="BM160" s="83"/>
      <c r="BN160" s="84"/>
      <c r="BO160" s="84"/>
      <c r="BP160" s="129"/>
      <c r="BQ160" s="129"/>
      <c r="BR160" s="129"/>
      <c r="BS160" s="129"/>
      <c r="BT160" s="129"/>
      <c r="BU160" s="129"/>
      <c r="BV160" s="129"/>
      <c r="BW160" s="129"/>
      <c r="BX160" s="129"/>
    </row>
    <row r="161" spans="6:76" ht="21" customHeight="1"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  <c r="AI161" s="83"/>
      <c r="AJ161" s="83"/>
      <c r="AK161" s="83"/>
      <c r="AL161" s="83"/>
      <c r="AM161" s="83"/>
      <c r="AN161" s="83"/>
      <c r="AO161" s="83"/>
      <c r="AP161" s="83"/>
      <c r="AQ161" s="83"/>
      <c r="AR161" s="83"/>
      <c r="AS161" s="83"/>
      <c r="AT161" s="83"/>
      <c r="AU161" s="83"/>
      <c r="AV161" s="83"/>
      <c r="AW161" s="83"/>
      <c r="AX161" s="83"/>
      <c r="AY161" s="83"/>
      <c r="AZ161" s="83"/>
      <c r="BA161" s="83"/>
      <c r="BB161" s="83"/>
      <c r="BC161" s="83"/>
      <c r="BD161" s="83"/>
      <c r="BE161" s="83"/>
      <c r="BF161" s="83"/>
      <c r="BG161" s="83"/>
      <c r="BH161" s="83"/>
      <c r="BI161" s="83"/>
      <c r="BJ161" s="83"/>
      <c r="BK161" s="83"/>
      <c r="BL161" s="83"/>
      <c r="BM161" s="83"/>
      <c r="BN161" s="84"/>
      <c r="BO161" s="84"/>
      <c r="BP161" s="129"/>
      <c r="BQ161" s="129"/>
      <c r="BR161" s="129"/>
      <c r="BS161" s="129"/>
      <c r="BT161" s="129"/>
      <c r="BU161" s="129"/>
      <c r="BV161" s="129"/>
      <c r="BW161" s="129"/>
      <c r="BX161" s="129"/>
    </row>
    <row r="162" spans="6:76" ht="21" customHeight="1"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  <c r="AI162" s="83"/>
      <c r="AJ162" s="83"/>
      <c r="AK162" s="83"/>
      <c r="AL162" s="83"/>
      <c r="AM162" s="83"/>
      <c r="AN162" s="83"/>
      <c r="AO162" s="83"/>
      <c r="AP162" s="83"/>
      <c r="AQ162" s="83"/>
      <c r="AR162" s="83"/>
      <c r="AS162" s="83"/>
      <c r="AT162" s="83"/>
      <c r="AU162" s="83"/>
      <c r="AV162" s="83"/>
      <c r="AW162" s="83"/>
      <c r="AX162" s="83"/>
      <c r="AY162" s="83"/>
      <c r="AZ162" s="83"/>
      <c r="BA162" s="83"/>
      <c r="BB162" s="83"/>
      <c r="BC162" s="83"/>
      <c r="BD162" s="83"/>
      <c r="BE162" s="83"/>
      <c r="BF162" s="83"/>
      <c r="BG162" s="83"/>
      <c r="BH162" s="83"/>
      <c r="BI162" s="83"/>
      <c r="BJ162" s="83"/>
      <c r="BK162" s="83"/>
      <c r="BL162" s="83"/>
      <c r="BM162" s="83"/>
      <c r="BN162" s="84"/>
      <c r="BO162" s="84"/>
      <c r="BP162" s="129"/>
      <c r="BQ162" s="129"/>
      <c r="BR162" s="129"/>
      <c r="BS162" s="129"/>
      <c r="BT162" s="129"/>
      <c r="BU162" s="129"/>
      <c r="BV162" s="129"/>
      <c r="BW162" s="129"/>
      <c r="BX162" s="129"/>
    </row>
    <row r="163" spans="6:76" ht="21" customHeight="1"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  <c r="AI163" s="83"/>
      <c r="AJ163" s="83"/>
      <c r="AK163" s="83"/>
      <c r="AL163" s="83"/>
      <c r="AM163" s="83"/>
      <c r="AN163" s="83"/>
      <c r="AO163" s="83"/>
      <c r="AP163" s="83"/>
      <c r="AQ163" s="83"/>
      <c r="AR163" s="83"/>
      <c r="AS163" s="83"/>
      <c r="AT163" s="83"/>
      <c r="AU163" s="83"/>
      <c r="AV163" s="83"/>
      <c r="AW163" s="83"/>
      <c r="AX163" s="83"/>
      <c r="AY163" s="83"/>
      <c r="AZ163" s="83"/>
      <c r="BA163" s="83"/>
      <c r="BB163" s="83"/>
      <c r="BC163" s="83"/>
      <c r="BD163" s="83"/>
      <c r="BE163" s="83"/>
      <c r="BF163" s="83"/>
      <c r="BG163" s="83"/>
      <c r="BH163" s="83"/>
      <c r="BI163" s="83"/>
      <c r="BJ163" s="83"/>
      <c r="BK163" s="83"/>
      <c r="BL163" s="83"/>
      <c r="BM163" s="83"/>
      <c r="BN163" s="84"/>
      <c r="BO163" s="84"/>
      <c r="BP163" s="129"/>
      <c r="BQ163" s="129"/>
      <c r="BR163" s="129"/>
      <c r="BS163" s="129"/>
      <c r="BT163" s="129"/>
      <c r="BU163" s="129"/>
      <c r="BV163" s="129"/>
      <c r="BW163" s="129"/>
      <c r="BX163" s="129"/>
    </row>
    <row r="164" spans="6:76" ht="21" customHeight="1"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  <c r="AI164" s="83"/>
      <c r="AJ164" s="83"/>
      <c r="AK164" s="83"/>
      <c r="AL164" s="83"/>
      <c r="AM164" s="83"/>
      <c r="AN164" s="83"/>
      <c r="AO164" s="83"/>
      <c r="AP164" s="83"/>
      <c r="AQ164" s="83"/>
      <c r="AR164" s="83"/>
      <c r="AS164" s="83"/>
      <c r="AT164" s="83"/>
      <c r="AU164" s="83"/>
      <c r="AV164" s="83"/>
      <c r="AW164" s="83"/>
      <c r="AX164" s="83"/>
      <c r="AY164" s="83"/>
      <c r="AZ164" s="83"/>
      <c r="BA164" s="83"/>
      <c r="BB164" s="83"/>
      <c r="BC164" s="83"/>
      <c r="BD164" s="83"/>
      <c r="BE164" s="83"/>
      <c r="BF164" s="83"/>
      <c r="BG164" s="83"/>
      <c r="BH164" s="83"/>
      <c r="BI164" s="83"/>
      <c r="BJ164" s="83"/>
      <c r="BK164" s="83"/>
      <c r="BL164" s="83"/>
      <c r="BM164" s="83"/>
      <c r="BN164" s="84"/>
      <c r="BO164" s="84"/>
      <c r="BP164" s="129"/>
      <c r="BQ164" s="129"/>
      <c r="BR164" s="129"/>
      <c r="BS164" s="129"/>
      <c r="BT164" s="129"/>
      <c r="BU164" s="129"/>
      <c r="BV164" s="129"/>
      <c r="BW164" s="129"/>
      <c r="BX164" s="129"/>
    </row>
    <row r="165" spans="6:76" ht="21" customHeight="1"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  <c r="AI165" s="83"/>
      <c r="AJ165" s="83"/>
      <c r="AK165" s="83"/>
      <c r="AL165" s="83"/>
      <c r="AM165" s="83"/>
      <c r="AN165" s="83"/>
      <c r="AO165" s="83"/>
      <c r="AP165" s="83"/>
      <c r="AQ165" s="83"/>
      <c r="AR165" s="83"/>
      <c r="AS165" s="83"/>
      <c r="AT165" s="83"/>
      <c r="AU165" s="83"/>
      <c r="AV165" s="83"/>
      <c r="AW165" s="83"/>
      <c r="AX165" s="83"/>
      <c r="AY165" s="83"/>
      <c r="AZ165" s="83"/>
      <c r="BA165" s="83"/>
      <c r="BB165" s="83"/>
      <c r="BC165" s="83"/>
      <c r="BD165" s="83"/>
      <c r="BE165" s="83"/>
      <c r="BF165" s="83"/>
      <c r="BG165" s="83"/>
      <c r="BH165" s="83"/>
      <c r="BI165" s="83"/>
      <c r="BJ165" s="83"/>
      <c r="BK165" s="83"/>
      <c r="BL165" s="83"/>
      <c r="BM165" s="83"/>
      <c r="BN165" s="84"/>
      <c r="BO165" s="84"/>
      <c r="BP165" s="129"/>
      <c r="BQ165" s="129"/>
      <c r="BR165" s="129"/>
      <c r="BS165" s="129"/>
      <c r="BT165" s="129"/>
      <c r="BU165" s="129"/>
      <c r="BV165" s="129"/>
      <c r="BW165" s="129"/>
      <c r="BX165" s="129"/>
    </row>
    <row r="166" spans="6:76" ht="21" customHeight="1"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4"/>
      <c r="BO166" s="84"/>
      <c r="BP166" s="129"/>
      <c r="BQ166" s="129"/>
      <c r="BR166" s="129"/>
      <c r="BS166" s="129"/>
      <c r="BT166" s="129"/>
      <c r="BU166" s="129"/>
      <c r="BV166" s="129"/>
      <c r="BW166" s="129"/>
      <c r="BX166" s="129"/>
    </row>
    <row r="167" spans="6:76" ht="21" customHeight="1"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  <c r="AI167" s="83"/>
      <c r="AJ167" s="83"/>
      <c r="AK167" s="83"/>
      <c r="AL167" s="83"/>
      <c r="AM167" s="83"/>
      <c r="AN167" s="83"/>
      <c r="AO167" s="83"/>
      <c r="AP167" s="83"/>
      <c r="AQ167" s="83"/>
      <c r="AR167" s="83"/>
      <c r="AS167" s="83"/>
      <c r="AT167" s="83"/>
      <c r="AU167" s="83"/>
      <c r="AV167" s="83"/>
      <c r="AW167" s="83"/>
      <c r="AX167" s="83"/>
      <c r="AY167" s="83"/>
      <c r="AZ167" s="83"/>
      <c r="BA167" s="83"/>
      <c r="BB167" s="83"/>
      <c r="BC167" s="83"/>
      <c r="BD167" s="83"/>
      <c r="BE167" s="83"/>
      <c r="BF167" s="83"/>
      <c r="BG167" s="83"/>
      <c r="BH167" s="83"/>
      <c r="BI167" s="83"/>
      <c r="BJ167" s="83"/>
      <c r="BK167" s="83"/>
      <c r="BL167" s="83"/>
      <c r="BM167" s="83"/>
      <c r="BN167" s="84"/>
      <c r="BO167" s="84"/>
      <c r="BP167" s="129"/>
      <c r="BQ167" s="129"/>
      <c r="BR167" s="129"/>
      <c r="BS167" s="129"/>
      <c r="BT167" s="129"/>
      <c r="BU167" s="129"/>
      <c r="BV167" s="129"/>
      <c r="BW167" s="129"/>
      <c r="BX167" s="129"/>
    </row>
    <row r="168" spans="6:76" ht="21" customHeight="1"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  <c r="AI168" s="83"/>
      <c r="AJ168" s="83"/>
      <c r="AK168" s="83"/>
      <c r="AL168" s="83"/>
      <c r="AM168" s="83"/>
      <c r="AN168" s="83"/>
      <c r="AO168" s="83"/>
      <c r="AP168" s="83"/>
      <c r="AQ168" s="83"/>
      <c r="AR168" s="83"/>
      <c r="AS168" s="83"/>
      <c r="AT168" s="83"/>
      <c r="AU168" s="83"/>
      <c r="AV168" s="83"/>
      <c r="AW168" s="83"/>
      <c r="AX168" s="83"/>
      <c r="AY168" s="83"/>
      <c r="AZ168" s="83"/>
      <c r="BA168" s="83"/>
      <c r="BB168" s="83"/>
      <c r="BC168" s="83"/>
      <c r="BD168" s="83"/>
      <c r="BE168" s="83"/>
      <c r="BF168" s="83"/>
      <c r="BG168" s="83"/>
      <c r="BH168" s="83"/>
      <c r="BI168" s="83"/>
      <c r="BJ168" s="83"/>
      <c r="BK168" s="83"/>
      <c r="BL168" s="83"/>
      <c r="BM168" s="83"/>
      <c r="BN168" s="84"/>
      <c r="BO168" s="84"/>
      <c r="BP168" s="129"/>
      <c r="BQ168" s="129"/>
      <c r="BR168" s="129"/>
      <c r="BS168" s="129"/>
      <c r="BT168" s="129"/>
      <c r="BU168" s="129"/>
      <c r="BV168" s="129"/>
      <c r="BW168" s="129"/>
      <c r="BX168" s="129"/>
    </row>
    <row r="169" spans="6:76" ht="21" customHeight="1"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  <c r="AI169" s="83"/>
      <c r="AJ169" s="83"/>
      <c r="AK169" s="83"/>
      <c r="AL169" s="83"/>
      <c r="AM169" s="83"/>
      <c r="AN169" s="83"/>
      <c r="AO169" s="83"/>
      <c r="AP169" s="83"/>
      <c r="AQ169" s="83"/>
      <c r="AR169" s="83"/>
      <c r="AS169" s="83"/>
      <c r="AT169" s="83"/>
      <c r="AU169" s="83"/>
      <c r="AV169" s="83"/>
      <c r="AW169" s="83"/>
      <c r="AX169" s="83"/>
      <c r="AY169" s="83"/>
      <c r="AZ169" s="83"/>
      <c r="BA169" s="83"/>
      <c r="BB169" s="83"/>
      <c r="BC169" s="83"/>
      <c r="BD169" s="83"/>
      <c r="BE169" s="83"/>
      <c r="BF169" s="83"/>
      <c r="BG169" s="83"/>
      <c r="BH169" s="83"/>
      <c r="BI169" s="83"/>
      <c r="BJ169" s="83"/>
      <c r="BK169" s="83"/>
      <c r="BL169" s="83"/>
      <c r="BM169" s="83"/>
      <c r="BN169" s="84"/>
      <c r="BO169" s="84"/>
      <c r="BP169" s="129"/>
      <c r="BQ169" s="129"/>
      <c r="BR169" s="129"/>
      <c r="BS169" s="129"/>
      <c r="BT169" s="129"/>
      <c r="BU169" s="129"/>
      <c r="BV169" s="129"/>
      <c r="BW169" s="129"/>
      <c r="BX169" s="129"/>
    </row>
    <row r="170" spans="6:76" ht="21" customHeight="1"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  <c r="AI170" s="83"/>
      <c r="AJ170" s="83"/>
      <c r="AK170" s="83"/>
      <c r="AL170" s="83"/>
      <c r="AM170" s="83"/>
      <c r="AN170" s="83"/>
      <c r="AO170" s="83"/>
      <c r="AP170" s="83"/>
      <c r="AQ170" s="83"/>
      <c r="AR170" s="83"/>
      <c r="AS170" s="83"/>
      <c r="AT170" s="83"/>
      <c r="AU170" s="83"/>
      <c r="AV170" s="83"/>
      <c r="AW170" s="83"/>
      <c r="AX170" s="83"/>
      <c r="AY170" s="83"/>
      <c r="AZ170" s="83"/>
      <c r="BA170" s="83"/>
      <c r="BB170" s="83"/>
      <c r="BC170" s="83"/>
      <c r="BD170" s="83"/>
      <c r="BE170" s="83"/>
      <c r="BF170" s="83"/>
      <c r="BG170" s="83"/>
      <c r="BH170" s="83"/>
      <c r="BI170" s="83"/>
      <c r="BJ170" s="83"/>
      <c r="BK170" s="83"/>
      <c r="BL170" s="83"/>
      <c r="BM170" s="83"/>
      <c r="BN170" s="84"/>
      <c r="BO170" s="84"/>
      <c r="BP170" s="129"/>
      <c r="BQ170" s="129"/>
      <c r="BR170" s="129"/>
      <c r="BS170" s="129"/>
      <c r="BT170" s="129"/>
      <c r="BU170" s="129"/>
      <c r="BV170" s="129"/>
      <c r="BW170" s="129"/>
      <c r="BX170" s="129"/>
    </row>
    <row r="171" spans="6:76" ht="21" customHeight="1"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  <c r="AI171" s="83"/>
      <c r="AJ171" s="83"/>
      <c r="AK171" s="83"/>
      <c r="AL171" s="83"/>
      <c r="AM171" s="83"/>
      <c r="AN171" s="83"/>
      <c r="AO171" s="83"/>
      <c r="AP171" s="83"/>
      <c r="AQ171" s="83"/>
      <c r="AR171" s="83"/>
      <c r="AS171" s="83"/>
      <c r="AT171" s="83"/>
      <c r="AU171" s="83"/>
      <c r="AV171" s="83"/>
      <c r="AW171" s="83"/>
      <c r="AX171" s="83"/>
      <c r="AY171" s="83"/>
      <c r="AZ171" s="83"/>
      <c r="BA171" s="83"/>
      <c r="BB171" s="83"/>
      <c r="BC171" s="83"/>
      <c r="BD171" s="83"/>
      <c r="BE171" s="83"/>
      <c r="BF171" s="83"/>
      <c r="BG171" s="83"/>
      <c r="BH171" s="83"/>
      <c r="BI171" s="83"/>
      <c r="BJ171" s="83"/>
      <c r="BK171" s="83"/>
      <c r="BL171" s="83"/>
      <c r="BM171" s="83"/>
      <c r="BN171" s="84"/>
      <c r="BO171" s="84"/>
      <c r="BP171" s="129"/>
      <c r="BQ171" s="129"/>
      <c r="BR171" s="129"/>
      <c r="BS171" s="129"/>
      <c r="BT171" s="129"/>
      <c r="BU171" s="129"/>
      <c r="BV171" s="129"/>
      <c r="BW171" s="129"/>
      <c r="BX171" s="129"/>
    </row>
    <row r="172" spans="6:76" ht="21" customHeight="1"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  <c r="AI172" s="83"/>
      <c r="AJ172" s="83"/>
      <c r="AK172" s="83"/>
      <c r="AL172" s="83"/>
      <c r="AM172" s="83"/>
      <c r="AN172" s="83"/>
      <c r="AO172" s="83"/>
      <c r="AP172" s="83"/>
      <c r="AQ172" s="83"/>
      <c r="AR172" s="83"/>
      <c r="AS172" s="83"/>
      <c r="AT172" s="83"/>
      <c r="AU172" s="83"/>
      <c r="AV172" s="83"/>
      <c r="AW172" s="83"/>
      <c r="AX172" s="83"/>
      <c r="AY172" s="83"/>
      <c r="AZ172" s="83"/>
      <c r="BA172" s="83"/>
      <c r="BB172" s="83"/>
      <c r="BC172" s="83"/>
      <c r="BD172" s="83"/>
      <c r="BE172" s="83"/>
      <c r="BF172" s="83"/>
      <c r="BG172" s="83"/>
      <c r="BH172" s="83"/>
      <c r="BI172" s="83"/>
      <c r="BJ172" s="83"/>
      <c r="BK172" s="83"/>
      <c r="BL172" s="83"/>
      <c r="BM172" s="83"/>
      <c r="BN172" s="84"/>
      <c r="BO172" s="84"/>
      <c r="BP172" s="129"/>
      <c r="BQ172" s="129"/>
      <c r="BR172" s="129"/>
      <c r="BS172" s="129"/>
      <c r="BT172" s="129"/>
      <c r="BU172" s="129"/>
      <c r="BV172" s="129"/>
      <c r="BW172" s="129"/>
      <c r="BX172" s="129"/>
    </row>
    <row r="173" spans="6:76" ht="21" customHeight="1"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  <c r="AI173" s="83"/>
      <c r="AJ173" s="83"/>
      <c r="AK173" s="83"/>
      <c r="AL173" s="83"/>
      <c r="AM173" s="83"/>
      <c r="AN173" s="83"/>
      <c r="AO173" s="83"/>
      <c r="AP173" s="83"/>
      <c r="AQ173" s="83"/>
      <c r="AR173" s="83"/>
      <c r="AS173" s="83"/>
      <c r="AT173" s="83"/>
      <c r="AU173" s="83"/>
      <c r="AV173" s="83"/>
      <c r="AW173" s="83"/>
      <c r="AX173" s="83"/>
      <c r="AY173" s="83"/>
      <c r="AZ173" s="83"/>
      <c r="BA173" s="83"/>
      <c r="BB173" s="83"/>
      <c r="BC173" s="83"/>
      <c r="BD173" s="83"/>
      <c r="BE173" s="83"/>
      <c r="BF173" s="83"/>
      <c r="BG173" s="83"/>
      <c r="BH173" s="83"/>
      <c r="BI173" s="83"/>
      <c r="BJ173" s="83"/>
      <c r="BK173" s="83"/>
      <c r="BL173" s="83"/>
      <c r="BM173" s="83"/>
      <c r="BN173" s="84"/>
      <c r="BO173" s="84"/>
      <c r="BP173" s="129"/>
      <c r="BQ173" s="129"/>
      <c r="BR173" s="129"/>
      <c r="BS173" s="129"/>
      <c r="BT173" s="129"/>
      <c r="BU173" s="129"/>
      <c r="BV173" s="129"/>
      <c r="BW173" s="129"/>
      <c r="BX173" s="129"/>
    </row>
    <row r="174" spans="6:76" ht="21" customHeight="1"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4"/>
      <c r="BO174" s="84"/>
      <c r="BP174" s="129"/>
      <c r="BQ174" s="129"/>
      <c r="BR174" s="129"/>
      <c r="BS174" s="129"/>
      <c r="BT174" s="129"/>
      <c r="BU174" s="129"/>
      <c r="BV174" s="129"/>
      <c r="BW174" s="129"/>
      <c r="BX174" s="129"/>
    </row>
    <row r="175" spans="6:76" ht="21" customHeight="1"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  <c r="AI175" s="83"/>
      <c r="AJ175" s="83"/>
      <c r="AK175" s="83"/>
      <c r="AL175" s="83"/>
      <c r="AM175" s="83"/>
      <c r="AN175" s="83"/>
      <c r="AO175" s="83"/>
      <c r="AP175" s="83"/>
      <c r="AQ175" s="83"/>
      <c r="AR175" s="83"/>
      <c r="AS175" s="83"/>
      <c r="AT175" s="83"/>
      <c r="AU175" s="83"/>
      <c r="AV175" s="83"/>
      <c r="AW175" s="83"/>
      <c r="AX175" s="83"/>
      <c r="AY175" s="83"/>
      <c r="AZ175" s="83"/>
      <c r="BA175" s="83"/>
      <c r="BB175" s="83"/>
      <c r="BC175" s="83"/>
      <c r="BD175" s="83"/>
      <c r="BE175" s="83"/>
      <c r="BF175" s="83"/>
      <c r="BG175" s="83"/>
      <c r="BH175" s="83"/>
      <c r="BI175" s="83"/>
      <c r="BJ175" s="83"/>
      <c r="BK175" s="83"/>
      <c r="BL175" s="83"/>
      <c r="BM175" s="83"/>
      <c r="BN175" s="84"/>
      <c r="BO175" s="84"/>
      <c r="BP175" s="129"/>
      <c r="BQ175" s="129"/>
      <c r="BR175" s="129"/>
      <c r="BS175" s="129"/>
      <c r="BT175" s="129"/>
      <c r="BU175" s="129"/>
      <c r="BV175" s="129"/>
      <c r="BW175" s="129"/>
      <c r="BX175" s="129"/>
    </row>
    <row r="176" spans="6:76" ht="21" customHeight="1"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  <c r="AI176" s="83"/>
      <c r="AJ176" s="83"/>
      <c r="AK176" s="83"/>
      <c r="AL176" s="83"/>
      <c r="AM176" s="83"/>
      <c r="AN176" s="83"/>
      <c r="AO176" s="83"/>
      <c r="AP176" s="83"/>
      <c r="AQ176" s="83"/>
      <c r="AR176" s="83"/>
      <c r="AS176" s="83"/>
      <c r="AT176" s="83"/>
      <c r="AU176" s="83"/>
      <c r="AV176" s="83"/>
      <c r="AW176" s="83"/>
      <c r="AX176" s="83"/>
      <c r="AY176" s="83"/>
      <c r="AZ176" s="83"/>
      <c r="BA176" s="83"/>
      <c r="BB176" s="83"/>
      <c r="BC176" s="83"/>
      <c r="BD176" s="83"/>
      <c r="BE176" s="83"/>
      <c r="BF176" s="83"/>
      <c r="BG176" s="83"/>
      <c r="BH176" s="83"/>
      <c r="BI176" s="83"/>
      <c r="BJ176" s="83"/>
      <c r="BK176" s="83"/>
      <c r="BL176" s="83"/>
      <c r="BM176" s="83"/>
      <c r="BN176" s="84"/>
      <c r="BO176" s="84"/>
      <c r="BP176" s="129"/>
      <c r="BQ176" s="129"/>
      <c r="BR176" s="129"/>
      <c r="BS176" s="129"/>
      <c r="BT176" s="129"/>
      <c r="BU176" s="129"/>
      <c r="BV176" s="129"/>
      <c r="BW176" s="129"/>
      <c r="BX176" s="129"/>
    </row>
    <row r="177" spans="6:76" ht="21" customHeight="1"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  <c r="AI177" s="83"/>
      <c r="AJ177" s="83"/>
      <c r="AK177" s="83"/>
      <c r="AL177" s="83"/>
      <c r="AM177" s="83"/>
      <c r="AN177" s="83"/>
      <c r="AO177" s="83"/>
      <c r="AP177" s="83"/>
      <c r="AQ177" s="83"/>
      <c r="AR177" s="83"/>
      <c r="AS177" s="83"/>
      <c r="AT177" s="83"/>
      <c r="AU177" s="83"/>
      <c r="AV177" s="83"/>
      <c r="AW177" s="83"/>
      <c r="AX177" s="83"/>
      <c r="AY177" s="83"/>
      <c r="AZ177" s="83"/>
      <c r="BA177" s="83"/>
      <c r="BB177" s="83"/>
      <c r="BC177" s="83"/>
      <c r="BD177" s="83"/>
      <c r="BE177" s="83"/>
      <c r="BF177" s="83"/>
      <c r="BG177" s="83"/>
      <c r="BH177" s="83"/>
      <c r="BI177" s="83"/>
      <c r="BJ177" s="83"/>
      <c r="BK177" s="83"/>
      <c r="BL177" s="83"/>
      <c r="BM177" s="83"/>
      <c r="BN177" s="84"/>
      <c r="BO177" s="84"/>
      <c r="BP177" s="129"/>
      <c r="BQ177" s="129"/>
      <c r="BR177" s="129"/>
      <c r="BS177" s="129"/>
      <c r="BT177" s="129"/>
      <c r="BU177" s="129"/>
      <c r="BV177" s="129"/>
      <c r="BW177" s="129"/>
      <c r="BX177" s="129"/>
    </row>
    <row r="178" spans="6:76" ht="21" customHeight="1"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  <c r="AI178" s="83"/>
      <c r="AJ178" s="83"/>
      <c r="AK178" s="83"/>
      <c r="AL178" s="83"/>
      <c r="AM178" s="83"/>
      <c r="AN178" s="83"/>
      <c r="AO178" s="83"/>
      <c r="AP178" s="83"/>
      <c r="AQ178" s="83"/>
      <c r="AR178" s="83"/>
      <c r="AS178" s="83"/>
      <c r="AT178" s="83"/>
      <c r="AU178" s="83"/>
      <c r="AV178" s="83"/>
      <c r="AW178" s="83"/>
      <c r="AX178" s="83"/>
      <c r="AY178" s="83"/>
      <c r="AZ178" s="83"/>
      <c r="BA178" s="83"/>
      <c r="BB178" s="83"/>
      <c r="BC178" s="83"/>
      <c r="BD178" s="83"/>
      <c r="BE178" s="83"/>
      <c r="BF178" s="83"/>
      <c r="BG178" s="83"/>
      <c r="BH178" s="83"/>
      <c r="BI178" s="83"/>
      <c r="BJ178" s="83"/>
      <c r="BK178" s="83"/>
      <c r="BL178" s="83"/>
      <c r="BM178" s="83"/>
      <c r="BN178" s="84"/>
      <c r="BO178" s="84"/>
      <c r="BP178" s="129"/>
      <c r="BQ178" s="129"/>
      <c r="BR178" s="129"/>
      <c r="BS178" s="129"/>
      <c r="BT178" s="129"/>
      <c r="BU178" s="129"/>
      <c r="BV178" s="129"/>
      <c r="BW178" s="129"/>
      <c r="BX178" s="129"/>
    </row>
    <row r="179" spans="6:76" ht="21" customHeight="1"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  <c r="AI179" s="83"/>
      <c r="AJ179" s="83"/>
      <c r="AK179" s="83"/>
      <c r="AL179" s="83"/>
      <c r="AM179" s="83"/>
      <c r="AN179" s="83"/>
      <c r="AO179" s="83"/>
      <c r="AP179" s="83"/>
      <c r="AQ179" s="83"/>
      <c r="AR179" s="83"/>
      <c r="AS179" s="83"/>
      <c r="AT179" s="83"/>
      <c r="AU179" s="83"/>
      <c r="AV179" s="83"/>
      <c r="AW179" s="83"/>
      <c r="AX179" s="83"/>
      <c r="AY179" s="83"/>
      <c r="AZ179" s="83"/>
      <c r="BA179" s="83"/>
      <c r="BB179" s="83"/>
      <c r="BC179" s="83"/>
      <c r="BD179" s="83"/>
      <c r="BE179" s="83"/>
      <c r="BF179" s="83"/>
      <c r="BG179" s="83"/>
      <c r="BH179" s="83"/>
      <c r="BI179" s="83"/>
      <c r="BJ179" s="83"/>
      <c r="BK179" s="83"/>
      <c r="BL179" s="83"/>
      <c r="BM179" s="83"/>
      <c r="BN179" s="84"/>
      <c r="BO179" s="84"/>
      <c r="BP179" s="129"/>
      <c r="BQ179" s="129"/>
      <c r="BR179" s="129"/>
      <c r="BS179" s="129"/>
      <c r="BT179" s="129"/>
      <c r="BU179" s="129"/>
      <c r="BV179" s="129"/>
      <c r="BW179" s="129"/>
      <c r="BX179" s="129"/>
    </row>
    <row r="180" spans="6:76" ht="21" customHeight="1"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  <c r="AI180" s="83"/>
      <c r="AJ180" s="83"/>
      <c r="AK180" s="83"/>
      <c r="AL180" s="83"/>
      <c r="AM180" s="83"/>
      <c r="AN180" s="83"/>
      <c r="AO180" s="83"/>
      <c r="AP180" s="83"/>
      <c r="AQ180" s="83"/>
      <c r="AR180" s="83"/>
      <c r="AS180" s="83"/>
      <c r="AT180" s="83"/>
      <c r="AU180" s="83"/>
      <c r="AV180" s="83"/>
      <c r="AW180" s="83"/>
      <c r="AX180" s="83"/>
      <c r="AY180" s="83"/>
      <c r="AZ180" s="83"/>
      <c r="BA180" s="83"/>
      <c r="BB180" s="83"/>
      <c r="BC180" s="83"/>
      <c r="BD180" s="83"/>
      <c r="BE180" s="83"/>
      <c r="BF180" s="83"/>
      <c r="BG180" s="83"/>
      <c r="BH180" s="83"/>
      <c r="BI180" s="83"/>
      <c r="BJ180" s="83"/>
      <c r="BK180" s="83"/>
      <c r="BL180" s="83"/>
      <c r="BM180" s="83"/>
      <c r="BN180" s="84"/>
      <c r="BO180" s="84"/>
      <c r="BP180" s="129"/>
      <c r="BQ180" s="129"/>
      <c r="BR180" s="129"/>
      <c r="BS180" s="129"/>
      <c r="BT180" s="129"/>
      <c r="BU180" s="129"/>
      <c r="BV180" s="129"/>
      <c r="BW180" s="129"/>
      <c r="BX180" s="129"/>
    </row>
    <row r="181" spans="6:76" ht="21" customHeight="1"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  <c r="AI181" s="83"/>
      <c r="AJ181" s="83"/>
      <c r="AK181" s="83"/>
      <c r="AL181" s="83"/>
      <c r="AM181" s="83"/>
      <c r="AN181" s="83"/>
      <c r="AO181" s="83"/>
      <c r="AP181" s="83"/>
      <c r="AQ181" s="83"/>
      <c r="AR181" s="83"/>
      <c r="AS181" s="83"/>
      <c r="AT181" s="83"/>
      <c r="AU181" s="83"/>
      <c r="AV181" s="83"/>
      <c r="AW181" s="83"/>
      <c r="AX181" s="83"/>
      <c r="AY181" s="83"/>
      <c r="AZ181" s="83"/>
      <c r="BA181" s="83"/>
      <c r="BB181" s="83"/>
      <c r="BC181" s="83"/>
      <c r="BD181" s="83"/>
      <c r="BE181" s="83"/>
      <c r="BF181" s="83"/>
      <c r="BG181" s="83"/>
      <c r="BH181" s="83"/>
      <c r="BI181" s="83"/>
      <c r="BJ181" s="83"/>
      <c r="BK181" s="83"/>
      <c r="BL181" s="83"/>
      <c r="BM181" s="83"/>
      <c r="BN181" s="84"/>
      <c r="BO181" s="84"/>
      <c r="BP181" s="129"/>
      <c r="BQ181" s="129"/>
      <c r="BR181" s="129"/>
      <c r="BS181" s="129"/>
      <c r="BT181" s="129"/>
      <c r="BU181" s="129"/>
      <c r="BV181" s="129"/>
      <c r="BW181" s="129"/>
      <c r="BX181" s="129"/>
    </row>
    <row r="182" spans="6:76" ht="21" customHeight="1"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4"/>
      <c r="BO182" s="84"/>
      <c r="BP182" s="129"/>
      <c r="BQ182" s="129"/>
      <c r="BR182" s="129"/>
      <c r="BS182" s="129"/>
      <c r="BT182" s="129"/>
      <c r="BU182" s="129"/>
      <c r="BV182" s="129"/>
      <c r="BW182" s="129"/>
      <c r="BX182" s="129"/>
    </row>
    <row r="183" spans="6:76" ht="21" customHeight="1"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  <c r="AI183" s="83"/>
      <c r="AJ183" s="83"/>
      <c r="AK183" s="83"/>
      <c r="AL183" s="83"/>
      <c r="AM183" s="83"/>
      <c r="AN183" s="83"/>
      <c r="AO183" s="83"/>
      <c r="AP183" s="83"/>
      <c r="AQ183" s="83"/>
      <c r="AR183" s="83"/>
      <c r="AS183" s="83"/>
      <c r="AT183" s="83"/>
      <c r="AU183" s="83"/>
      <c r="AV183" s="83"/>
      <c r="AW183" s="83"/>
      <c r="AX183" s="83"/>
      <c r="AY183" s="83"/>
      <c r="AZ183" s="83"/>
      <c r="BA183" s="83"/>
      <c r="BB183" s="83"/>
      <c r="BC183" s="83"/>
      <c r="BD183" s="83"/>
      <c r="BE183" s="83"/>
      <c r="BF183" s="83"/>
      <c r="BG183" s="83"/>
      <c r="BH183" s="83"/>
      <c r="BI183" s="83"/>
      <c r="BJ183" s="83"/>
      <c r="BK183" s="83"/>
      <c r="BL183" s="83"/>
      <c r="BM183" s="83"/>
      <c r="BN183" s="84"/>
      <c r="BO183" s="84"/>
      <c r="BP183" s="129"/>
      <c r="BQ183" s="129"/>
      <c r="BR183" s="129"/>
      <c r="BS183" s="129"/>
      <c r="BT183" s="129"/>
      <c r="BU183" s="129"/>
      <c r="BV183" s="129"/>
      <c r="BW183" s="129"/>
      <c r="BX183" s="129"/>
    </row>
    <row r="184" spans="6:76" ht="21" customHeight="1"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  <c r="AI184" s="83"/>
      <c r="AJ184" s="83"/>
      <c r="AK184" s="83"/>
      <c r="AL184" s="83"/>
      <c r="AM184" s="83"/>
      <c r="AN184" s="83"/>
      <c r="AO184" s="83"/>
      <c r="AP184" s="83"/>
      <c r="AQ184" s="83"/>
      <c r="AR184" s="83"/>
      <c r="AS184" s="83"/>
      <c r="AT184" s="83"/>
      <c r="AU184" s="83"/>
      <c r="AV184" s="83"/>
      <c r="AW184" s="83"/>
      <c r="AX184" s="83"/>
      <c r="AY184" s="83"/>
      <c r="AZ184" s="83"/>
      <c r="BA184" s="83"/>
      <c r="BB184" s="83"/>
      <c r="BC184" s="83"/>
      <c r="BD184" s="83"/>
      <c r="BE184" s="83"/>
      <c r="BF184" s="83"/>
      <c r="BG184" s="83"/>
      <c r="BH184" s="83"/>
      <c r="BI184" s="83"/>
      <c r="BJ184" s="83"/>
      <c r="BK184" s="83"/>
      <c r="BL184" s="83"/>
      <c r="BM184" s="83"/>
      <c r="BN184" s="84"/>
      <c r="BO184" s="84"/>
      <c r="BP184" s="129"/>
      <c r="BQ184" s="129"/>
      <c r="BR184" s="129"/>
      <c r="BS184" s="129"/>
      <c r="BT184" s="129"/>
      <c r="BU184" s="129"/>
      <c r="BV184" s="129"/>
      <c r="BW184" s="129"/>
      <c r="BX184" s="129"/>
    </row>
    <row r="185" spans="6:76" ht="21" customHeight="1"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  <c r="AI185" s="83"/>
      <c r="AJ185" s="83"/>
      <c r="AK185" s="83"/>
      <c r="AL185" s="83"/>
      <c r="AM185" s="83"/>
      <c r="AN185" s="83"/>
      <c r="AO185" s="83"/>
      <c r="AP185" s="83"/>
      <c r="AQ185" s="83"/>
      <c r="AR185" s="83"/>
      <c r="AS185" s="83"/>
      <c r="AT185" s="83"/>
      <c r="AU185" s="83"/>
      <c r="AV185" s="83"/>
      <c r="AW185" s="83"/>
      <c r="AX185" s="83"/>
      <c r="AY185" s="83"/>
      <c r="AZ185" s="83"/>
      <c r="BA185" s="83"/>
      <c r="BB185" s="83"/>
      <c r="BC185" s="83"/>
      <c r="BD185" s="83"/>
      <c r="BE185" s="83"/>
      <c r="BF185" s="83"/>
      <c r="BG185" s="83"/>
      <c r="BH185" s="83"/>
      <c r="BI185" s="83"/>
      <c r="BJ185" s="83"/>
      <c r="BK185" s="83"/>
      <c r="BL185" s="83"/>
      <c r="BM185" s="83"/>
      <c r="BN185" s="84"/>
      <c r="BO185" s="84"/>
      <c r="BP185" s="129"/>
      <c r="BQ185" s="129"/>
      <c r="BR185" s="129"/>
      <c r="BS185" s="129"/>
      <c r="BT185" s="129"/>
      <c r="BU185" s="129"/>
      <c r="BV185" s="129"/>
      <c r="BW185" s="129"/>
      <c r="BX185" s="129"/>
    </row>
    <row r="186" spans="6:76" ht="21" customHeight="1"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  <c r="AI186" s="83"/>
      <c r="AJ186" s="83"/>
      <c r="AK186" s="83"/>
      <c r="AL186" s="83"/>
      <c r="AM186" s="83"/>
      <c r="AN186" s="83"/>
      <c r="AO186" s="83"/>
      <c r="AP186" s="83"/>
      <c r="AQ186" s="83"/>
      <c r="AR186" s="83"/>
      <c r="AS186" s="83"/>
      <c r="AT186" s="83"/>
      <c r="AU186" s="83"/>
      <c r="AV186" s="83"/>
      <c r="AW186" s="83"/>
      <c r="AX186" s="83"/>
      <c r="AY186" s="83"/>
      <c r="AZ186" s="83"/>
      <c r="BA186" s="83"/>
      <c r="BB186" s="83"/>
      <c r="BC186" s="83"/>
      <c r="BD186" s="83"/>
      <c r="BE186" s="83"/>
      <c r="BF186" s="83"/>
      <c r="BG186" s="83"/>
      <c r="BH186" s="83"/>
      <c r="BI186" s="83"/>
      <c r="BJ186" s="83"/>
      <c r="BK186" s="83"/>
      <c r="BL186" s="83"/>
      <c r="BM186" s="83"/>
      <c r="BN186" s="84"/>
      <c r="BO186" s="84"/>
      <c r="BP186" s="129"/>
      <c r="BQ186" s="129"/>
      <c r="BR186" s="129"/>
      <c r="BS186" s="129"/>
      <c r="BT186" s="129"/>
      <c r="BU186" s="129"/>
      <c r="BV186" s="129"/>
      <c r="BW186" s="129"/>
      <c r="BX186" s="129"/>
    </row>
    <row r="187" spans="6:76" ht="21" customHeight="1"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3"/>
      <c r="AJ187" s="83"/>
      <c r="AK187" s="83"/>
      <c r="AL187" s="83"/>
      <c r="AM187" s="83"/>
      <c r="AN187" s="83"/>
      <c r="AO187" s="83"/>
      <c r="AP187" s="83"/>
      <c r="AQ187" s="83"/>
      <c r="AR187" s="83"/>
      <c r="AS187" s="83"/>
      <c r="AT187" s="83"/>
      <c r="AU187" s="83"/>
      <c r="AV187" s="83"/>
      <c r="AW187" s="83"/>
      <c r="AX187" s="83"/>
      <c r="AY187" s="83"/>
      <c r="AZ187" s="83"/>
      <c r="BA187" s="83"/>
      <c r="BB187" s="83"/>
      <c r="BC187" s="83"/>
      <c r="BD187" s="83"/>
      <c r="BE187" s="83"/>
      <c r="BF187" s="83"/>
      <c r="BG187" s="83"/>
      <c r="BH187" s="83"/>
      <c r="BI187" s="83"/>
      <c r="BJ187" s="83"/>
      <c r="BK187" s="83"/>
      <c r="BL187" s="83"/>
      <c r="BM187" s="83"/>
      <c r="BN187" s="84"/>
      <c r="BO187" s="84"/>
      <c r="BP187" s="129"/>
      <c r="BQ187" s="129"/>
      <c r="BR187" s="129"/>
      <c r="BS187" s="129"/>
      <c r="BT187" s="129"/>
      <c r="BU187" s="129"/>
      <c r="BV187" s="129"/>
      <c r="BW187" s="129"/>
      <c r="BX187" s="129"/>
    </row>
    <row r="188" spans="6:76" ht="21" customHeight="1"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  <c r="AI188" s="83"/>
      <c r="AJ188" s="83"/>
      <c r="AK188" s="83"/>
      <c r="AL188" s="83"/>
      <c r="AM188" s="83"/>
      <c r="AN188" s="83"/>
      <c r="AO188" s="83"/>
      <c r="AP188" s="83"/>
      <c r="AQ188" s="83"/>
      <c r="AR188" s="83"/>
      <c r="AS188" s="83"/>
      <c r="AT188" s="83"/>
      <c r="AU188" s="83"/>
      <c r="AV188" s="83"/>
      <c r="AW188" s="83"/>
      <c r="AX188" s="83"/>
      <c r="AY188" s="83"/>
      <c r="AZ188" s="83"/>
      <c r="BA188" s="83"/>
      <c r="BB188" s="83"/>
      <c r="BC188" s="83"/>
      <c r="BD188" s="83"/>
      <c r="BE188" s="83"/>
      <c r="BF188" s="83"/>
      <c r="BG188" s="83"/>
      <c r="BH188" s="83"/>
      <c r="BI188" s="83"/>
      <c r="BJ188" s="83"/>
      <c r="BK188" s="83"/>
      <c r="BL188" s="83"/>
      <c r="BM188" s="83"/>
      <c r="BN188" s="84"/>
      <c r="BO188" s="84"/>
      <c r="BP188" s="129"/>
      <c r="BQ188" s="129"/>
      <c r="BR188" s="129"/>
      <c r="BS188" s="129"/>
      <c r="BT188" s="129"/>
      <c r="BU188" s="129"/>
      <c r="BV188" s="129"/>
      <c r="BW188" s="129"/>
      <c r="BX188" s="129"/>
    </row>
    <row r="189" spans="6:76" ht="21" customHeight="1"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3"/>
      <c r="AJ189" s="83"/>
      <c r="AK189" s="83"/>
      <c r="AL189" s="83"/>
      <c r="AM189" s="83"/>
      <c r="AN189" s="83"/>
      <c r="AO189" s="83"/>
      <c r="AP189" s="83"/>
      <c r="AQ189" s="83"/>
      <c r="AR189" s="83"/>
      <c r="AS189" s="83"/>
      <c r="AT189" s="83"/>
      <c r="AU189" s="83"/>
      <c r="AV189" s="83"/>
      <c r="AW189" s="83"/>
      <c r="AX189" s="83"/>
      <c r="AY189" s="83"/>
      <c r="AZ189" s="83"/>
      <c r="BA189" s="83"/>
      <c r="BB189" s="83"/>
      <c r="BC189" s="83"/>
      <c r="BD189" s="83"/>
      <c r="BE189" s="83"/>
      <c r="BF189" s="83"/>
      <c r="BG189" s="83"/>
      <c r="BH189" s="83"/>
      <c r="BI189" s="83"/>
      <c r="BJ189" s="83"/>
      <c r="BK189" s="83"/>
      <c r="BL189" s="83"/>
      <c r="BM189" s="83"/>
      <c r="BN189" s="84"/>
      <c r="BO189" s="84"/>
      <c r="BP189" s="129"/>
      <c r="BQ189" s="129"/>
      <c r="BR189" s="129"/>
      <c r="BS189" s="129"/>
      <c r="BT189" s="129"/>
      <c r="BU189" s="129"/>
      <c r="BV189" s="129"/>
      <c r="BW189" s="129"/>
      <c r="BX189" s="129"/>
    </row>
    <row r="190" spans="6:76" ht="21" customHeight="1"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4"/>
      <c r="BO190" s="84"/>
      <c r="BP190" s="129"/>
      <c r="BQ190" s="129"/>
      <c r="BR190" s="129"/>
      <c r="BS190" s="129"/>
      <c r="BT190" s="129"/>
      <c r="BU190" s="129"/>
      <c r="BV190" s="129"/>
      <c r="BW190" s="129"/>
      <c r="BX190" s="129"/>
    </row>
    <row r="191" spans="6:76" ht="21" customHeight="1"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3"/>
      <c r="AJ191" s="83"/>
      <c r="AK191" s="83"/>
      <c r="AL191" s="83"/>
      <c r="AM191" s="83"/>
      <c r="AN191" s="83"/>
      <c r="AO191" s="83"/>
      <c r="AP191" s="83"/>
      <c r="AQ191" s="83"/>
      <c r="AR191" s="83"/>
      <c r="AS191" s="83"/>
      <c r="AT191" s="83"/>
      <c r="AU191" s="83"/>
      <c r="AV191" s="83"/>
      <c r="AW191" s="83"/>
      <c r="AX191" s="83"/>
      <c r="AY191" s="83"/>
      <c r="AZ191" s="83"/>
      <c r="BA191" s="83"/>
      <c r="BB191" s="83"/>
      <c r="BC191" s="83"/>
      <c r="BD191" s="83"/>
      <c r="BE191" s="83"/>
      <c r="BF191" s="83"/>
      <c r="BG191" s="83"/>
      <c r="BH191" s="83"/>
      <c r="BI191" s="83"/>
      <c r="BJ191" s="83"/>
      <c r="BK191" s="83"/>
      <c r="BL191" s="83"/>
      <c r="BM191" s="83"/>
      <c r="BN191" s="84"/>
      <c r="BO191" s="84"/>
      <c r="BP191" s="129"/>
      <c r="BQ191" s="129"/>
      <c r="BR191" s="129"/>
      <c r="BS191" s="129"/>
      <c r="BT191" s="129"/>
      <c r="BU191" s="129"/>
      <c r="BV191" s="129"/>
      <c r="BW191" s="129"/>
      <c r="BX191" s="129"/>
    </row>
    <row r="192" spans="6:76" ht="21" customHeight="1"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  <c r="AI192" s="83"/>
      <c r="AJ192" s="83"/>
      <c r="AK192" s="83"/>
      <c r="AL192" s="83"/>
      <c r="AM192" s="83"/>
      <c r="AN192" s="83"/>
      <c r="AO192" s="83"/>
      <c r="AP192" s="83"/>
      <c r="AQ192" s="83"/>
      <c r="AR192" s="83"/>
      <c r="AS192" s="83"/>
      <c r="AT192" s="83"/>
      <c r="AU192" s="83"/>
      <c r="AV192" s="83"/>
      <c r="AW192" s="83"/>
      <c r="AX192" s="83"/>
      <c r="AY192" s="83"/>
      <c r="AZ192" s="83"/>
      <c r="BA192" s="83"/>
      <c r="BB192" s="83"/>
      <c r="BC192" s="83"/>
      <c r="BD192" s="83"/>
      <c r="BE192" s="83"/>
      <c r="BF192" s="83"/>
      <c r="BG192" s="83"/>
      <c r="BH192" s="83"/>
      <c r="BI192" s="83"/>
      <c r="BJ192" s="83"/>
      <c r="BK192" s="83"/>
      <c r="BL192" s="83"/>
      <c r="BM192" s="83"/>
      <c r="BN192" s="84"/>
      <c r="BO192" s="84"/>
      <c r="BP192" s="129"/>
      <c r="BQ192" s="129"/>
      <c r="BR192" s="129"/>
      <c r="BS192" s="129"/>
      <c r="BT192" s="129"/>
      <c r="BU192" s="129"/>
      <c r="BV192" s="129"/>
      <c r="BW192" s="129"/>
      <c r="BX192" s="129"/>
    </row>
    <row r="193" spans="6:76" ht="21" customHeight="1"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3"/>
      <c r="AJ193" s="83"/>
      <c r="AK193" s="83"/>
      <c r="AL193" s="83"/>
      <c r="AM193" s="83"/>
      <c r="AN193" s="83"/>
      <c r="AO193" s="83"/>
      <c r="AP193" s="83"/>
      <c r="AQ193" s="83"/>
      <c r="AR193" s="83"/>
      <c r="AS193" s="83"/>
      <c r="AT193" s="83"/>
      <c r="AU193" s="83"/>
      <c r="AV193" s="83"/>
      <c r="AW193" s="83"/>
      <c r="AX193" s="83"/>
      <c r="AY193" s="83"/>
      <c r="AZ193" s="83"/>
      <c r="BA193" s="83"/>
      <c r="BB193" s="83"/>
      <c r="BC193" s="83"/>
      <c r="BD193" s="83"/>
      <c r="BE193" s="83"/>
      <c r="BF193" s="83"/>
      <c r="BG193" s="83"/>
      <c r="BH193" s="83"/>
      <c r="BI193" s="83"/>
      <c r="BJ193" s="83"/>
      <c r="BK193" s="83"/>
      <c r="BL193" s="83"/>
      <c r="BM193" s="83"/>
      <c r="BN193" s="84"/>
      <c r="BO193" s="84"/>
      <c r="BP193" s="129"/>
      <c r="BQ193" s="129"/>
      <c r="BR193" s="129"/>
      <c r="BS193" s="129"/>
      <c r="BT193" s="129"/>
      <c r="BU193" s="129"/>
      <c r="BV193" s="129"/>
      <c r="BW193" s="129"/>
      <c r="BX193" s="129"/>
    </row>
    <row r="194" spans="6:76" ht="21" customHeight="1"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83"/>
      <c r="AK194" s="83"/>
      <c r="AL194" s="83"/>
      <c r="AM194" s="83"/>
      <c r="AN194" s="83"/>
      <c r="AO194" s="83"/>
      <c r="AP194" s="83"/>
      <c r="AQ194" s="83"/>
      <c r="AR194" s="83"/>
      <c r="AS194" s="83"/>
      <c r="AT194" s="83"/>
      <c r="AU194" s="83"/>
      <c r="AV194" s="83"/>
      <c r="AW194" s="83"/>
      <c r="AX194" s="83"/>
      <c r="AY194" s="83"/>
      <c r="AZ194" s="83"/>
      <c r="BA194" s="83"/>
      <c r="BB194" s="83"/>
      <c r="BC194" s="83"/>
      <c r="BD194" s="83"/>
      <c r="BE194" s="83"/>
      <c r="BF194" s="83"/>
      <c r="BG194" s="83"/>
      <c r="BH194" s="83"/>
      <c r="BI194" s="83"/>
      <c r="BJ194" s="83"/>
      <c r="BK194" s="83"/>
      <c r="BL194" s="83"/>
      <c r="BM194" s="83"/>
      <c r="BN194" s="84"/>
      <c r="BO194" s="84"/>
      <c r="BP194" s="129"/>
      <c r="BQ194" s="129"/>
      <c r="BR194" s="129"/>
      <c r="BS194" s="129"/>
      <c r="BT194" s="129"/>
      <c r="BU194" s="129"/>
      <c r="BV194" s="129"/>
      <c r="BW194" s="129"/>
      <c r="BX194" s="129"/>
    </row>
    <row r="195" spans="6:76" ht="21" customHeight="1"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3"/>
      <c r="AJ195" s="83"/>
      <c r="AK195" s="83"/>
      <c r="AL195" s="83"/>
      <c r="AM195" s="83"/>
      <c r="AN195" s="83"/>
      <c r="AO195" s="83"/>
      <c r="AP195" s="83"/>
      <c r="AQ195" s="83"/>
      <c r="AR195" s="83"/>
      <c r="AS195" s="83"/>
      <c r="AT195" s="83"/>
      <c r="AU195" s="83"/>
      <c r="AV195" s="83"/>
      <c r="AW195" s="83"/>
      <c r="AX195" s="83"/>
      <c r="AY195" s="83"/>
      <c r="AZ195" s="83"/>
      <c r="BA195" s="83"/>
      <c r="BB195" s="83"/>
      <c r="BC195" s="83"/>
      <c r="BD195" s="83"/>
      <c r="BE195" s="83"/>
      <c r="BF195" s="83"/>
      <c r="BG195" s="83"/>
      <c r="BH195" s="83"/>
      <c r="BI195" s="83"/>
      <c r="BJ195" s="83"/>
      <c r="BK195" s="83"/>
      <c r="BL195" s="83"/>
      <c r="BM195" s="83"/>
      <c r="BN195" s="84"/>
      <c r="BO195" s="84"/>
      <c r="BP195" s="129"/>
      <c r="BQ195" s="129"/>
      <c r="BR195" s="129"/>
      <c r="BS195" s="129"/>
      <c r="BT195" s="129"/>
      <c r="BU195" s="129"/>
      <c r="BV195" s="129"/>
      <c r="BW195" s="129"/>
      <c r="BX195" s="129"/>
    </row>
    <row r="196" spans="6:76" ht="21" customHeight="1"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  <c r="AI196" s="83"/>
      <c r="AJ196" s="83"/>
      <c r="AK196" s="83"/>
      <c r="AL196" s="83"/>
      <c r="AM196" s="83"/>
      <c r="AN196" s="83"/>
      <c r="AO196" s="83"/>
      <c r="AP196" s="83"/>
      <c r="AQ196" s="83"/>
      <c r="AR196" s="83"/>
      <c r="AS196" s="83"/>
      <c r="AT196" s="83"/>
      <c r="AU196" s="83"/>
      <c r="AV196" s="83"/>
      <c r="AW196" s="83"/>
      <c r="AX196" s="83"/>
      <c r="AY196" s="83"/>
      <c r="AZ196" s="83"/>
      <c r="BA196" s="83"/>
      <c r="BB196" s="83"/>
      <c r="BC196" s="83"/>
      <c r="BD196" s="83"/>
      <c r="BE196" s="83"/>
      <c r="BF196" s="83"/>
      <c r="BG196" s="83"/>
      <c r="BH196" s="83"/>
      <c r="BI196" s="83"/>
      <c r="BJ196" s="83"/>
      <c r="BK196" s="83"/>
      <c r="BL196" s="83"/>
      <c r="BM196" s="83"/>
      <c r="BN196" s="84"/>
      <c r="BO196" s="84"/>
      <c r="BP196" s="129"/>
      <c r="BQ196" s="129"/>
      <c r="BR196" s="129"/>
      <c r="BS196" s="129"/>
      <c r="BT196" s="129"/>
      <c r="BU196" s="129"/>
      <c r="BV196" s="129"/>
      <c r="BW196" s="129"/>
      <c r="BX196" s="129"/>
    </row>
    <row r="197" spans="6:76" ht="21" customHeight="1"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3"/>
      <c r="AJ197" s="83"/>
      <c r="AK197" s="83"/>
      <c r="AL197" s="83"/>
      <c r="AM197" s="83"/>
      <c r="AN197" s="83"/>
      <c r="AO197" s="83"/>
      <c r="AP197" s="83"/>
      <c r="AQ197" s="83"/>
      <c r="AR197" s="83"/>
      <c r="AS197" s="83"/>
      <c r="AT197" s="83"/>
      <c r="AU197" s="83"/>
      <c r="AV197" s="83"/>
      <c r="AW197" s="83"/>
      <c r="AX197" s="83"/>
      <c r="AY197" s="83"/>
      <c r="AZ197" s="83"/>
      <c r="BA197" s="83"/>
      <c r="BB197" s="83"/>
      <c r="BC197" s="83"/>
      <c r="BD197" s="83"/>
      <c r="BE197" s="83"/>
      <c r="BF197" s="83"/>
      <c r="BG197" s="83"/>
      <c r="BH197" s="83"/>
      <c r="BI197" s="83"/>
      <c r="BJ197" s="83"/>
      <c r="BK197" s="83"/>
      <c r="BL197" s="83"/>
      <c r="BM197" s="83"/>
      <c r="BN197" s="84"/>
      <c r="BO197" s="84"/>
      <c r="BP197" s="129"/>
      <c r="BQ197" s="129"/>
      <c r="BR197" s="129"/>
      <c r="BS197" s="129"/>
      <c r="BT197" s="129"/>
      <c r="BU197" s="129"/>
      <c r="BV197" s="129"/>
      <c r="BW197" s="129"/>
      <c r="BX197" s="129"/>
    </row>
    <row r="198" spans="6:76" ht="21" customHeight="1"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3"/>
      <c r="AJ198" s="83"/>
      <c r="AK198" s="83"/>
      <c r="AL198" s="83"/>
      <c r="AM198" s="83"/>
      <c r="AN198" s="83"/>
      <c r="AO198" s="83"/>
      <c r="AP198" s="83"/>
      <c r="AQ198" s="83"/>
      <c r="AR198" s="83"/>
      <c r="AS198" s="83"/>
      <c r="AT198" s="83"/>
      <c r="AU198" s="83"/>
      <c r="AV198" s="83"/>
      <c r="AW198" s="83"/>
      <c r="AX198" s="83"/>
      <c r="AY198" s="83"/>
      <c r="AZ198" s="83"/>
      <c r="BA198" s="83"/>
      <c r="BB198" s="83"/>
      <c r="BC198" s="83"/>
      <c r="BD198" s="83"/>
      <c r="BE198" s="83"/>
      <c r="BF198" s="83"/>
      <c r="BG198" s="83"/>
      <c r="BH198" s="83"/>
      <c r="BI198" s="83"/>
      <c r="BJ198" s="83"/>
      <c r="BK198" s="83"/>
      <c r="BL198" s="83"/>
      <c r="BM198" s="83"/>
      <c r="BN198" s="84"/>
      <c r="BO198" s="84"/>
      <c r="BP198" s="129"/>
      <c r="BQ198" s="129"/>
      <c r="BR198" s="129"/>
      <c r="BS198" s="129"/>
      <c r="BT198" s="129"/>
      <c r="BU198" s="129"/>
      <c r="BV198" s="129"/>
      <c r="BW198" s="129"/>
      <c r="BX198" s="129"/>
    </row>
    <row r="199" spans="6:76" ht="21" customHeight="1"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  <c r="AI199" s="83"/>
      <c r="AJ199" s="83"/>
      <c r="AK199" s="83"/>
      <c r="AL199" s="83"/>
      <c r="AM199" s="83"/>
      <c r="AN199" s="83"/>
      <c r="AO199" s="83"/>
      <c r="AP199" s="83"/>
      <c r="AQ199" s="83"/>
      <c r="AR199" s="83"/>
      <c r="AS199" s="83"/>
      <c r="AT199" s="83"/>
      <c r="AU199" s="83"/>
      <c r="AV199" s="83"/>
      <c r="AW199" s="83"/>
      <c r="AX199" s="83"/>
      <c r="AY199" s="83"/>
      <c r="AZ199" s="83"/>
      <c r="BA199" s="83"/>
      <c r="BB199" s="83"/>
      <c r="BC199" s="83"/>
      <c r="BD199" s="83"/>
      <c r="BE199" s="83"/>
      <c r="BF199" s="83"/>
      <c r="BG199" s="83"/>
      <c r="BH199" s="83"/>
      <c r="BI199" s="83"/>
      <c r="BJ199" s="83"/>
      <c r="BK199" s="83"/>
      <c r="BL199" s="83"/>
      <c r="BM199" s="83"/>
      <c r="BN199" s="84"/>
      <c r="BO199" s="84"/>
      <c r="BP199" s="129"/>
      <c r="BQ199" s="129"/>
      <c r="BR199" s="129"/>
      <c r="BS199" s="129"/>
      <c r="BT199" s="129"/>
      <c r="BU199" s="129"/>
      <c r="BV199" s="129"/>
      <c r="BW199" s="129"/>
      <c r="BX199" s="129"/>
    </row>
    <row r="200" spans="6:76" ht="21" customHeight="1"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  <c r="AI200" s="83"/>
      <c r="AJ200" s="83"/>
      <c r="AK200" s="83"/>
      <c r="AL200" s="83"/>
      <c r="AM200" s="83"/>
      <c r="AN200" s="83"/>
      <c r="AO200" s="83"/>
      <c r="AP200" s="83"/>
      <c r="AQ200" s="83"/>
      <c r="AR200" s="83"/>
      <c r="AS200" s="83"/>
      <c r="AT200" s="83"/>
      <c r="AU200" s="83"/>
      <c r="AV200" s="83"/>
      <c r="AW200" s="83"/>
      <c r="AX200" s="83"/>
      <c r="AY200" s="83"/>
      <c r="AZ200" s="83"/>
      <c r="BA200" s="83"/>
      <c r="BB200" s="83"/>
      <c r="BC200" s="83"/>
      <c r="BD200" s="83"/>
      <c r="BE200" s="83"/>
      <c r="BF200" s="83"/>
      <c r="BG200" s="83"/>
      <c r="BH200" s="83"/>
      <c r="BI200" s="83"/>
      <c r="BJ200" s="83"/>
      <c r="BK200" s="83"/>
      <c r="BL200" s="83"/>
      <c r="BM200" s="83"/>
      <c r="BN200" s="84"/>
      <c r="BO200" s="84"/>
      <c r="BP200" s="129"/>
      <c r="BQ200" s="129"/>
      <c r="BR200" s="129"/>
      <c r="BS200" s="129"/>
      <c r="BT200" s="129"/>
      <c r="BU200" s="129"/>
      <c r="BV200" s="129"/>
      <c r="BW200" s="129"/>
      <c r="BX200" s="129"/>
    </row>
    <row r="201" spans="6:76" ht="21" customHeight="1"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  <c r="AI201" s="83"/>
      <c r="AJ201" s="83"/>
      <c r="AK201" s="83"/>
      <c r="AL201" s="83"/>
      <c r="AM201" s="83"/>
      <c r="AN201" s="83"/>
      <c r="AO201" s="83"/>
      <c r="AP201" s="83"/>
      <c r="AQ201" s="83"/>
      <c r="AR201" s="83"/>
      <c r="AS201" s="83"/>
      <c r="AT201" s="83"/>
      <c r="AU201" s="83"/>
      <c r="AV201" s="83"/>
      <c r="AW201" s="83"/>
      <c r="AX201" s="83"/>
      <c r="AY201" s="83"/>
      <c r="AZ201" s="83"/>
      <c r="BA201" s="83"/>
      <c r="BB201" s="83"/>
      <c r="BC201" s="83"/>
      <c r="BD201" s="83"/>
      <c r="BE201" s="83"/>
      <c r="BF201" s="83"/>
      <c r="BG201" s="83"/>
      <c r="BH201" s="83"/>
      <c r="BI201" s="83"/>
      <c r="BJ201" s="83"/>
      <c r="BK201" s="83"/>
      <c r="BL201" s="83"/>
      <c r="BM201" s="83"/>
      <c r="BN201" s="84"/>
      <c r="BO201" s="84"/>
      <c r="BP201" s="129"/>
      <c r="BQ201" s="129"/>
      <c r="BR201" s="129"/>
      <c r="BS201" s="129"/>
      <c r="BT201" s="129"/>
      <c r="BU201" s="129"/>
      <c r="BV201" s="129"/>
      <c r="BW201" s="129"/>
      <c r="BX201" s="129"/>
    </row>
    <row r="202" spans="6:76" ht="21" customHeight="1"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  <c r="AI202" s="83"/>
      <c r="AJ202" s="83"/>
      <c r="AK202" s="83"/>
      <c r="AL202" s="83"/>
      <c r="AM202" s="83"/>
      <c r="AN202" s="83"/>
      <c r="AO202" s="83"/>
      <c r="AP202" s="83"/>
      <c r="AQ202" s="83"/>
      <c r="AR202" s="83"/>
      <c r="AS202" s="83"/>
      <c r="AT202" s="83"/>
      <c r="AU202" s="83"/>
      <c r="AV202" s="83"/>
      <c r="AW202" s="83"/>
      <c r="AX202" s="83"/>
      <c r="AY202" s="83"/>
      <c r="AZ202" s="83"/>
      <c r="BA202" s="83"/>
      <c r="BB202" s="83"/>
      <c r="BC202" s="83"/>
      <c r="BD202" s="83"/>
      <c r="BE202" s="83"/>
      <c r="BF202" s="83"/>
      <c r="BG202" s="83"/>
      <c r="BH202" s="83"/>
      <c r="BI202" s="83"/>
      <c r="BJ202" s="83"/>
      <c r="BK202" s="83"/>
      <c r="BL202" s="83"/>
      <c r="BM202" s="83"/>
      <c r="BN202" s="84"/>
      <c r="BO202" s="84"/>
      <c r="BP202" s="129"/>
      <c r="BQ202" s="129"/>
      <c r="BR202" s="129"/>
      <c r="BS202" s="129"/>
      <c r="BT202" s="129"/>
      <c r="BU202" s="129"/>
      <c r="BV202" s="129"/>
      <c r="BW202" s="129"/>
      <c r="BX202" s="129"/>
    </row>
    <row r="203" spans="6:76" ht="21" customHeight="1"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  <c r="AI203" s="83"/>
      <c r="AJ203" s="83"/>
      <c r="AK203" s="83"/>
      <c r="AL203" s="83"/>
      <c r="AM203" s="83"/>
      <c r="AN203" s="83"/>
      <c r="AO203" s="83"/>
      <c r="AP203" s="83"/>
      <c r="AQ203" s="83"/>
      <c r="AR203" s="83"/>
      <c r="AS203" s="83"/>
      <c r="AT203" s="83"/>
      <c r="AU203" s="83"/>
      <c r="AV203" s="83"/>
      <c r="AW203" s="83"/>
      <c r="AX203" s="83"/>
      <c r="AY203" s="83"/>
      <c r="AZ203" s="83"/>
      <c r="BA203" s="83"/>
      <c r="BB203" s="83"/>
      <c r="BC203" s="83"/>
      <c r="BD203" s="83"/>
      <c r="BE203" s="83"/>
      <c r="BF203" s="83"/>
      <c r="BG203" s="83"/>
      <c r="BH203" s="83"/>
      <c r="BI203" s="83"/>
      <c r="BJ203" s="83"/>
      <c r="BK203" s="83"/>
      <c r="BL203" s="83"/>
      <c r="BM203" s="83"/>
      <c r="BN203" s="84"/>
      <c r="BO203" s="84"/>
      <c r="BP203" s="129"/>
      <c r="BQ203" s="129"/>
      <c r="BR203" s="129"/>
      <c r="BS203" s="129"/>
      <c r="BT203" s="129"/>
      <c r="BU203" s="129"/>
      <c r="BV203" s="129"/>
      <c r="BW203" s="129"/>
      <c r="BX203" s="129"/>
    </row>
    <row r="204" spans="6:76" ht="21" customHeight="1"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  <c r="AI204" s="83"/>
      <c r="AJ204" s="83"/>
      <c r="AK204" s="83"/>
      <c r="AL204" s="83"/>
      <c r="AM204" s="83"/>
      <c r="AN204" s="83"/>
      <c r="AO204" s="83"/>
      <c r="AP204" s="83"/>
      <c r="AQ204" s="83"/>
      <c r="AR204" s="83"/>
      <c r="AS204" s="83"/>
      <c r="AT204" s="83"/>
      <c r="AU204" s="83"/>
      <c r="AV204" s="83"/>
      <c r="AW204" s="83"/>
      <c r="AX204" s="83"/>
      <c r="AY204" s="83"/>
      <c r="AZ204" s="83"/>
      <c r="BA204" s="83"/>
      <c r="BB204" s="83"/>
      <c r="BC204" s="83"/>
      <c r="BD204" s="83"/>
      <c r="BE204" s="83"/>
      <c r="BF204" s="83"/>
      <c r="BG204" s="83"/>
      <c r="BH204" s="83"/>
      <c r="BI204" s="83"/>
      <c r="BJ204" s="83"/>
      <c r="BK204" s="83"/>
      <c r="BL204" s="83"/>
      <c r="BM204" s="83"/>
      <c r="BN204" s="84"/>
      <c r="BO204" s="84"/>
      <c r="BP204" s="129"/>
      <c r="BQ204" s="129"/>
      <c r="BR204" s="129"/>
      <c r="BS204" s="129"/>
      <c r="BT204" s="129"/>
      <c r="BU204" s="129"/>
      <c r="BV204" s="129"/>
      <c r="BW204" s="129"/>
      <c r="BX204" s="129"/>
    </row>
    <row r="205" spans="6:76" ht="21" customHeight="1"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  <c r="AI205" s="83"/>
      <c r="AJ205" s="83"/>
      <c r="AK205" s="83"/>
      <c r="AL205" s="83"/>
      <c r="AM205" s="83"/>
      <c r="AN205" s="83"/>
      <c r="AO205" s="83"/>
      <c r="AP205" s="83"/>
      <c r="AQ205" s="83"/>
      <c r="AR205" s="83"/>
      <c r="AS205" s="83"/>
      <c r="AT205" s="83"/>
      <c r="AU205" s="83"/>
      <c r="AV205" s="83"/>
      <c r="AW205" s="83"/>
      <c r="AX205" s="83"/>
      <c r="AY205" s="83"/>
      <c r="AZ205" s="83"/>
      <c r="BA205" s="83"/>
      <c r="BB205" s="83"/>
      <c r="BC205" s="83"/>
      <c r="BD205" s="83"/>
      <c r="BE205" s="83"/>
      <c r="BF205" s="83"/>
      <c r="BG205" s="83"/>
      <c r="BH205" s="83"/>
      <c r="BI205" s="83"/>
      <c r="BJ205" s="83"/>
      <c r="BK205" s="83"/>
      <c r="BL205" s="83"/>
      <c r="BM205" s="83"/>
      <c r="BN205" s="84"/>
      <c r="BO205" s="84"/>
      <c r="BP205" s="129"/>
      <c r="BQ205" s="129"/>
      <c r="BR205" s="129"/>
      <c r="BS205" s="129"/>
      <c r="BT205" s="129"/>
      <c r="BU205" s="129"/>
      <c r="BV205" s="129"/>
      <c r="BW205" s="129"/>
      <c r="BX205" s="129"/>
    </row>
    <row r="206" spans="6:76" ht="21" customHeight="1"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  <c r="AI206" s="83"/>
      <c r="AJ206" s="83"/>
      <c r="AK206" s="83"/>
      <c r="AL206" s="83"/>
      <c r="AM206" s="83"/>
      <c r="AN206" s="83"/>
      <c r="AO206" s="83"/>
      <c r="AP206" s="83"/>
      <c r="AQ206" s="83"/>
      <c r="AR206" s="83"/>
      <c r="AS206" s="83"/>
      <c r="AT206" s="83"/>
      <c r="AU206" s="83"/>
      <c r="AV206" s="83"/>
      <c r="AW206" s="83"/>
      <c r="AX206" s="83"/>
      <c r="AY206" s="83"/>
      <c r="AZ206" s="83"/>
      <c r="BA206" s="83"/>
      <c r="BB206" s="83"/>
      <c r="BC206" s="83"/>
      <c r="BD206" s="83"/>
      <c r="BE206" s="83"/>
      <c r="BF206" s="83"/>
      <c r="BG206" s="83"/>
      <c r="BH206" s="83"/>
      <c r="BI206" s="83"/>
      <c r="BJ206" s="83"/>
      <c r="BK206" s="83"/>
      <c r="BL206" s="83"/>
      <c r="BM206" s="83"/>
      <c r="BN206" s="84"/>
      <c r="BO206" s="84"/>
      <c r="BP206" s="129"/>
      <c r="BQ206" s="129"/>
      <c r="BR206" s="129"/>
      <c r="BS206" s="129"/>
      <c r="BT206" s="129"/>
      <c r="BU206" s="129"/>
      <c r="BV206" s="129"/>
      <c r="BW206" s="129"/>
      <c r="BX206" s="129"/>
    </row>
    <row r="207" spans="6:76" ht="21" customHeight="1"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3"/>
      <c r="AJ207" s="83"/>
      <c r="AK207" s="83"/>
      <c r="AL207" s="83"/>
      <c r="AM207" s="83"/>
      <c r="AN207" s="83"/>
      <c r="AO207" s="83"/>
      <c r="AP207" s="83"/>
      <c r="AQ207" s="83"/>
      <c r="AR207" s="83"/>
      <c r="AS207" s="83"/>
      <c r="AT207" s="83"/>
      <c r="AU207" s="83"/>
      <c r="AV207" s="83"/>
      <c r="AW207" s="83"/>
      <c r="AX207" s="83"/>
      <c r="AY207" s="83"/>
      <c r="AZ207" s="83"/>
      <c r="BA207" s="83"/>
      <c r="BB207" s="83"/>
      <c r="BC207" s="83"/>
      <c r="BD207" s="83"/>
      <c r="BE207" s="83"/>
      <c r="BF207" s="83"/>
      <c r="BG207" s="83"/>
      <c r="BH207" s="83"/>
      <c r="BI207" s="83"/>
      <c r="BJ207" s="83"/>
      <c r="BK207" s="83"/>
      <c r="BL207" s="83"/>
      <c r="BM207" s="83"/>
      <c r="BN207" s="84"/>
      <c r="BO207" s="84"/>
      <c r="BP207" s="129"/>
      <c r="BQ207" s="129"/>
      <c r="BR207" s="129"/>
      <c r="BS207" s="129"/>
      <c r="BT207" s="129"/>
      <c r="BU207" s="129"/>
      <c r="BV207" s="129"/>
      <c r="BW207" s="129"/>
      <c r="BX207" s="129"/>
    </row>
    <row r="208" spans="6:76" ht="21" customHeight="1"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  <c r="AI208" s="83"/>
      <c r="AJ208" s="83"/>
      <c r="AK208" s="83"/>
      <c r="AL208" s="83"/>
      <c r="AM208" s="83"/>
      <c r="AN208" s="83"/>
      <c r="AO208" s="83"/>
      <c r="AP208" s="83"/>
      <c r="AQ208" s="83"/>
      <c r="AR208" s="83"/>
      <c r="AS208" s="83"/>
      <c r="AT208" s="83"/>
      <c r="AU208" s="83"/>
      <c r="AV208" s="83"/>
      <c r="AW208" s="83"/>
      <c r="AX208" s="83"/>
      <c r="AY208" s="83"/>
      <c r="AZ208" s="83"/>
      <c r="BA208" s="83"/>
      <c r="BB208" s="83"/>
      <c r="BC208" s="83"/>
      <c r="BD208" s="83"/>
      <c r="BE208" s="83"/>
      <c r="BF208" s="83"/>
      <c r="BG208" s="83"/>
      <c r="BH208" s="83"/>
      <c r="BI208" s="83"/>
      <c r="BJ208" s="83"/>
      <c r="BK208" s="83"/>
      <c r="BL208" s="83"/>
      <c r="BM208" s="83"/>
      <c r="BN208" s="84"/>
      <c r="BO208" s="84"/>
      <c r="BP208" s="129"/>
      <c r="BQ208" s="129"/>
      <c r="BR208" s="129"/>
      <c r="BS208" s="129"/>
      <c r="BT208" s="129"/>
      <c r="BU208" s="129"/>
      <c r="BV208" s="129"/>
      <c r="BW208" s="129"/>
      <c r="BX208" s="129"/>
    </row>
    <row r="209" spans="6:76" ht="21" customHeight="1"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3"/>
      <c r="AJ209" s="83"/>
      <c r="AK209" s="83"/>
      <c r="AL209" s="83"/>
      <c r="AM209" s="83"/>
      <c r="AN209" s="83"/>
      <c r="AO209" s="83"/>
      <c r="AP209" s="83"/>
      <c r="AQ209" s="83"/>
      <c r="AR209" s="83"/>
      <c r="AS209" s="83"/>
      <c r="AT209" s="83"/>
      <c r="AU209" s="83"/>
      <c r="AV209" s="83"/>
      <c r="AW209" s="83"/>
      <c r="AX209" s="83"/>
      <c r="AY209" s="83"/>
      <c r="AZ209" s="83"/>
      <c r="BA209" s="83"/>
      <c r="BB209" s="83"/>
      <c r="BC209" s="83"/>
      <c r="BD209" s="83"/>
      <c r="BE209" s="83"/>
      <c r="BF209" s="83"/>
      <c r="BG209" s="83"/>
      <c r="BH209" s="83"/>
      <c r="BI209" s="83"/>
      <c r="BJ209" s="83"/>
      <c r="BK209" s="83"/>
      <c r="BL209" s="83"/>
      <c r="BM209" s="83"/>
      <c r="BN209" s="84"/>
      <c r="BO209" s="84"/>
      <c r="BP209" s="129"/>
      <c r="BQ209" s="129"/>
      <c r="BR209" s="129"/>
      <c r="BS209" s="129"/>
      <c r="BT209" s="129"/>
      <c r="BU209" s="129"/>
      <c r="BV209" s="129"/>
      <c r="BW209" s="129"/>
      <c r="BX209" s="129"/>
    </row>
    <row r="210" spans="6:76" ht="21" customHeight="1"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3"/>
      <c r="AJ210" s="83"/>
      <c r="AK210" s="83"/>
      <c r="AL210" s="83"/>
      <c r="AM210" s="83"/>
      <c r="AN210" s="83"/>
      <c r="AO210" s="83"/>
      <c r="AP210" s="83"/>
      <c r="AQ210" s="83"/>
      <c r="AR210" s="83"/>
      <c r="AS210" s="83"/>
      <c r="AT210" s="83"/>
      <c r="AU210" s="83"/>
      <c r="AV210" s="83"/>
      <c r="AW210" s="83"/>
      <c r="AX210" s="83"/>
      <c r="AY210" s="83"/>
      <c r="AZ210" s="83"/>
      <c r="BA210" s="83"/>
      <c r="BB210" s="83"/>
      <c r="BC210" s="83"/>
      <c r="BD210" s="83"/>
      <c r="BE210" s="83"/>
      <c r="BF210" s="83"/>
      <c r="BG210" s="83"/>
      <c r="BH210" s="83"/>
      <c r="BI210" s="83"/>
      <c r="BJ210" s="83"/>
      <c r="BK210" s="83"/>
      <c r="BL210" s="83"/>
      <c r="BM210" s="83"/>
      <c r="BN210" s="84"/>
      <c r="BO210" s="84"/>
      <c r="BP210" s="129"/>
      <c r="BQ210" s="129"/>
      <c r="BR210" s="129"/>
      <c r="BS210" s="129"/>
      <c r="BT210" s="129"/>
      <c r="BU210" s="129"/>
      <c r="BV210" s="129"/>
      <c r="BW210" s="129"/>
      <c r="BX210" s="129"/>
    </row>
    <row r="211" spans="6:76" ht="21" customHeight="1"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  <c r="AL211" s="83"/>
      <c r="AM211" s="83"/>
      <c r="AN211" s="83"/>
      <c r="AO211" s="83"/>
      <c r="AP211" s="83"/>
      <c r="AQ211" s="83"/>
      <c r="AR211" s="83"/>
      <c r="AS211" s="83"/>
      <c r="AT211" s="83"/>
      <c r="AU211" s="83"/>
      <c r="AV211" s="83"/>
      <c r="AW211" s="83"/>
      <c r="AX211" s="83"/>
      <c r="AY211" s="83"/>
      <c r="AZ211" s="83"/>
      <c r="BA211" s="83"/>
      <c r="BB211" s="83"/>
      <c r="BC211" s="83"/>
      <c r="BD211" s="83"/>
      <c r="BE211" s="83"/>
      <c r="BF211" s="83"/>
      <c r="BG211" s="83"/>
      <c r="BH211" s="83"/>
      <c r="BI211" s="83"/>
      <c r="BJ211" s="83"/>
      <c r="BK211" s="83"/>
      <c r="BL211" s="83"/>
      <c r="BM211" s="83"/>
      <c r="BN211" s="84"/>
      <c r="BO211" s="84"/>
      <c r="BP211" s="129"/>
      <c r="BQ211" s="129"/>
      <c r="BR211" s="129"/>
      <c r="BS211" s="129"/>
      <c r="BT211" s="129"/>
      <c r="BU211" s="129"/>
      <c r="BV211" s="129"/>
      <c r="BW211" s="129"/>
      <c r="BX211" s="129"/>
    </row>
    <row r="212" spans="6:76" ht="21" customHeight="1"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3"/>
      <c r="AJ212" s="83"/>
      <c r="AK212" s="83"/>
      <c r="AL212" s="83"/>
      <c r="AM212" s="83"/>
      <c r="AN212" s="83"/>
      <c r="AO212" s="83"/>
      <c r="AP212" s="83"/>
      <c r="AQ212" s="83"/>
      <c r="AR212" s="83"/>
      <c r="AS212" s="83"/>
      <c r="AT212" s="83"/>
      <c r="AU212" s="83"/>
      <c r="AV212" s="83"/>
      <c r="AW212" s="83"/>
      <c r="AX212" s="83"/>
      <c r="AY212" s="83"/>
      <c r="AZ212" s="83"/>
      <c r="BA212" s="83"/>
      <c r="BB212" s="83"/>
      <c r="BC212" s="83"/>
      <c r="BD212" s="83"/>
      <c r="BE212" s="83"/>
      <c r="BF212" s="83"/>
      <c r="BG212" s="83"/>
      <c r="BH212" s="83"/>
      <c r="BI212" s="83"/>
      <c r="BJ212" s="83"/>
      <c r="BK212" s="83"/>
      <c r="BL212" s="83"/>
      <c r="BM212" s="83"/>
      <c r="BN212" s="84"/>
      <c r="BO212" s="84"/>
      <c r="BP212" s="129"/>
      <c r="BQ212" s="129"/>
      <c r="BR212" s="129"/>
      <c r="BS212" s="129"/>
      <c r="BT212" s="129"/>
      <c r="BU212" s="129"/>
      <c r="BV212" s="129"/>
      <c r="BW212" s="129"/>
      <c r="BX212" s="129"/>
    </row>
    <row r="213" spans="6:76" ht="21" customHeight="1"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3"/>
      <c r="AN213" s="83"/>
      <c r="AO213" s="83"/>
      <c r="AP213" s="83"/>
      <c r="AQ213" s="83"/>
      <c r="AR213" s="83"/>
      <c r="AS213" s="83"/>
      <c r="AT213" s="83"/>
      <c r="AU213" s="83"/>
      <c r="AV213" s="83"/>
      <c r="AW213" s="83"/>
      <c r="AX213" s="83"/>
      <c r="AY213" s="83"/>
      <c r="AZ213" s="83"/>
      <c r="BA213" s="83"/>
      <c r="BB213" s="83"/>
      <c r="BC213" s="83"/>
      <c r="BD213" s="83"/>
      <c r="BE213" s="83"/>
      <c r="BF213" s="83"/>
      <c r="BG213" s="83"/>
      <c r="BH213" s="83"/>
      <c r="BI213" s="83"/>
      <c r="BJ213" s="83"/>
      <c r="BK213" s="83"/>
      <c r="BL213" s="83"/>
      <c r="BM213" s="83"/>
      <c r="BN213" s="84"/>
      <c r="BO213" s="84"/>
      <c r="BP213" s="129"/>
      <c r="BQ213" s="129"/>
      <c r="BR213" s="129"/>
      <c r="BS213" s="129"/>
      <c r="BT213" s="129"/>
      <c r="BU213" s="129"/>
      <c r="BV213" s="129"/>
      <c r="BW213" s="129"/>
      <c r="BX213" s="129"/>
    </row>
    <row r="214" spans="6:76" ht="21" customHeight="1"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  <c r="AL214" s="83"/>
      <c r="AM214" s="83"/>
      <c r="AN214" s="83"/>
      <c r="AO214" s="83"/>
      <c r="AP214" s="83"/>
      <c r="AQ214" s="83"/>
      <c r="AR214" s="83"/>
      <c r="AS214" s="83"/>
      <c r="AT214" s="83"/>
      <c r="AU214" s="83"/>
      <c r="AV214" s="83"/>
      <c r="AW214" s="83"/>
      <c r="AX214" s="83"/>
      <c r="AY214" s="83"/>
      <c r="AZ214" s="83"/>
      <c r="BA214" s="83"/>
      <c r="BB214" s="83"/>
      <c r="BC214" s="83"/>
      <c r="BD214" s="83"/>
      <c r="BE214" s="83"/>
      <c r="BF214" s="83"/>
      <c r="BG214" s="83"/>
      <c r="BH214" s="83"/>
      <c r="BI214" s="83"/>
      <c r="BJ214" s="83"/>
      <c r="BK214" s="83"/>
      <c r="BL214" s="83"/>
      <c r="BM214" s="83"/>
      <c r="BN214" s="84"/>
      <c r="BO214" s="84"/>
      <c r="BP214" s="129"/>
      <c r="BQ214" s="129"/>
      <c r="BR214" s="129"/>
      <c r="BS214" s="129"/>
      <c r="BT214" s="129"/>
      <c r="BU214" s="129"/>
      <c r="BV214" s="129"/>
      <c r="BW214" s="129"/>
      <c r="BX214" s="129"/>
    </row>
    <row r="215" spans="6:76" ht="21" customHeight="1"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3"/>
      <c r="AN215" s="83"/>
      <c r="AO215" s="83"/>
      <c r="AP215" s="83"/>
      <c r="AQ215" s="83"/>
      <c r="AR215" s="83"/>
      <c r="AS215" s="83"/>
      <c r="AT215" s="83"/>
      <c r="AU215" s="83"/>
      <c r="AV215" s="83"/>
      <c r="AW215" s="83"/>
      <c r="AX215" s="83"/>
      <c r="AY215" s="83"/>
      <c r="AZ215" s="83"/>
      <c r="BA215" s="83"/>
      <c r="BB215" s="83"/>
      <c r="BC215" s="83"/>
      <c r="BD215" s="83"/>
      <c r="BE215" s="83"/>
      <c r="BF215" s="83"/>
      <c r="BG215" s="83"/>
      <c r="BH215" s="83"/>
      <c r="BI215" s="83"/>
      <c r="BJ215" s="83"/>
      <c r="BK215" s="83"/>
      <c r="BL215" s="83"/>
      <c r="BM215" s="83"/>
      <c r="BN215" s="84"/>
      <c r="BO215" s="84"/>
      <c r="BP215" s="129"/>
      <c r="BQ215" s="129"/>
      <c r="BR215" s="129"/>
      <c r="BS215" s="129"/>
      <c r="BT215" s="129"/>
      <c r="BU215" s="129"/>
      <c r="BV215" s="129"/>
      <c r="BW215" s="129"/>
      <c r="BX215" s="129"/>
    </row>
    <row r="216" spans="6:76" ht="21" customHeight="1"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  <c r="AP216" s="83"/>
      <c r="AQ216" s="83"/>
      <c r="AR216" s="83"/>
      <c r="AS216" s="83"/>
      <c r="AT216" s="83"/>
      <c r="AU216" s="83"/>
      <c r="AV216" s="83"/>
      <c r="AW216" s="83"/>
      <c r="AX216" s="83"/>
      <c r="AY216" s="83"/>
      <c r="AZ216" s="83"/>
      <c r="BA216" s="83"/>
      <c r="BB216" s="83"/>
      <c r="BC216" s="83"/>
      <c r="BD216" s="83"/>
      <c r="BE216" s="83"/>
      <c r="BF216" s="83"/>
      <c r="BG216" s="83"/>
      <c r="BH216" s="83"/>
      <c r="BI216" s="83"/>
      <c r="BJ216" s="83"/>
      <c r="BK216" s="83"/>
      <c r="BL216" s="83"/>
      <c r="BM216" s="83"/>
      <c r="BN216" s="84"/>
      <c r="BO216" s="84"/>
      <c r="BP216" s="129"/>
      <c r="BQ216" s="129"/>
      <c r="BR216" s="129"/>
      <c r="BS216" s="129"/>
      <c r="BT216" s="129"/>
      <c r="BU216" s="129"/>
      <c r="BV216" s="129"/>
      <c r="BW216" s="129"/>
      <c r="BX216" s="129"/>
    </row>
    <row r="217" spans="6:76" ht="21" customHeight="1"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  <c r="AP217" s="83"/>
      <c r="AQ217" s="83"/>
      <c r="AR217" s="83"/>
      <c r="AS217" s="83"/>
      <c r="AT217" s="83"/>
      <c r="AU217" s="83"/>
      <c r="AV217" s="83"/>
      <c r="AW217" s="83"/>
      <c r="AX217" s="83"/>
      <c r="AY217" s="83"/>
      <c r="AZ217" s="83"/>
      <c r="BA217" s="83"/>
      <c r="BB217" s="83"/>
      <c r="BC217" s="83"/>
      <c r="BD217" s="83"/>
      <c r="BE217" s="83"/>
      <c r="BF217" s="83"/>
      <c r="BG217" s="83"/>
      <c r="BH217" s="83"/>
      <c r="BI217" s="83"/>
      <c r="BJ217" s="83"/>
      <c r="BK217" s="83"/>
      <c r="BL217" s="83"/>
      <c r="BM217" s="83"/>
      <c r="BN217" s="84"/>
      <c r="BO217" s="84"/>
      <c r="BP217" s="129"/>
      <c r="BQ217" s="129"/>
      <c r="BR217" s="129"/>
      <c r="BS217" s="129"/>
      <c r="BT217" s="129"/>
      <c r="BU217" s="129"/>
      <c r="BV217" s="129"/>
      <c r="BW217" s="129"/>
      <c r="BX217" s="129"/>
    </row>
    <row r="218" spans="6:76" ht="21" customHeight="1"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  <c r="AP218" s="83"/>
      <c r="AQ218" s="83"/>
      <c r="AR218" s="83"/>
      <c r="AS218" s="83"/>
      <c r="AT218" s="83"/>
      <c r="AU218" s="83"/>
      <c r="AV218" s="83"/>
      <c r="AW218" s="83"/>
      <c r="AX218" s="83"/>
      <c r="AY218" s="83"/>
      <c r="AZ218" s="83"/>
      <c r="BA218" s="83"/>
      <c r="BB218" s="83"/>
      <c r="BC218" s="83"/>
      <c r="BD218" s="83"/>
      <c r="BE218" s="83"/>
      <c r="BF218" s="83"/>
      <c r="BG218" s="83"/>
      <c r="BH218" s="83"/>
      <c r="BI218" s="83"/>
      <c r="BJ218" s="83"/>
      <c r="BK218" s="83"/>
      <c r="BL218" s="83"/>
      <c r="BM218" s="83"/>
      <c r="BN218" s="84"/>
      <c r="BO218" s="84"/>
      <c r="BP218" s="129"/>
      <c r="BQ218" s="129"/>
      <c r="BR218" s="129"/>
      <c r="BS218" s="129"/>
      <c r="BT218" s="129"/>
      <c r="BU218" s="129"/>
      <c r="BV218" s="129"/>
      <c r="BW218" s="129"/>
      <c r="BX218" s="129"/>
    </row>
    <row r="219" spans="6:76" ht="21" customHeight="1"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  <c r="AL219" s="83"/>
      <c r="AM219" s="83"/>
      <c r="AN219" s="83"/>
      <c r="AO219" s="83"/>
      <c r="AP219" s="83"/>
      <c r="AQ219" s="83"/>
      <c r="AR219" s="83"/>
      <c r="AS219" s="83"/>
      <c r="AT219" s="83"/>
      <c r="AU219" s="83"/>
      <c r="AV219" s="83"/>
      <c r="AW219" s="83"/>
      <c r="AX219" s="83"/>
      <c r="AY219" s="83"/>
      <c r="AZ219" s="83"/>
      <c r="BA219" s="83"/>
      <c r="BB219" s="83"/>
      <c r="BC219" s="83"/>
      <c r="BD219" s="83"/>
      <c r="BE219" s="83"/>
      <c r="BF219" s="83"/>
      <c r="BG219" s="83"/>
      <c r="BH219" s="83"/>
      <c r="BI219" s="83"/>
      <c r="BJ219" s="83"/>
      <c r="BK219" s="83"/>
      <c r="BL219" s="83"/>
      <c r="BM219" s="83"/>
      <c r="BN219" s="84"/>
      <c r="BO219" s="84"/>
      <c r="BP219" s="129"/>
      <c r="BQ219" s="129"/>
      <c r="BR219" s="129"/>
      <c r="BS219" s="129"/>
      <c r="BT219" s="129"/>
      <c r="BU219" s="129"/>
      <c r="BV219" s="129"/>
      <c r="BW219" s="129"/>
      <c r="BX219" s="129"/>
    </row>
    <row r="220" spans="6:76" ht="21" customHeight="1"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  <c r="AL220" s="83"/>
      <c r="AM220" s="83"/>
      <c r="AN220" s="83"/>
      <c r="AO220" s="83"/>
      <c r="AP220" s="83"/>
      <c r="AQ220" s="83"/>
      <c r="AR220" s="83"/>
      <c r="AS220" s="83"/>
      <c r="AT220" s="83"/>
      <c r="AU220" s="83"/>
      <c r="AV220" s="83"/>
      <c r="AW220" s="83"/>
      <c r="AX220" s="83"/>
      <c r="AY220" s="83"/>
      <c r="AZ220" s="83"/>
      <c r="BA220" s="83"/>
      <c r="BB220" s="83"/>
      <c r="BC220" s="83"/>
      <c r="BD220" s="83"/>
      <c r="BE220" s="83"/>
      <c r="BF220" s="83"/>
      <c r="BG220" s="83"/>
      <c r="BH220" s="83"/>
      <c r="BI220" s="83"/>
      <c r="BJ220" s="83"/>
      <c r="BK220" s="83"/>
      <c r="BL220" s="83"/>
      <c r="BM220" s="83"/>
      <c r="BN220" s="84"/>
      <c r="BO220" s="84"/>
      <c r="BP220" s="129"/>
      <c r="BQ220" s="129"/>
      <c r="BR220" s="129"/>
      <c r="BS220" s="129"/>
      <c r="BT220" s="129"/>
      <c r="BU220" s="129"/>
      <c r="BV220" s="129"/>
      <c r="BW220" s="129"/>
      <c r="BX220" s="129"/>
    </row>
    <row r="221" spans="6:76" ht="21" customHeight="1"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3"/>
      <c r="AN221" s="83"/>
      <c r="AO221" s="83"/>
      <c r="AP221" s="83"/>
      <c r="AQ221" s="83"/>
      <c r="AR221" s="83"/>
      <c r="AS221" s="83"/>
      <c r="AT221" s="83"/>
      <c r="AU221" s="83"/>
      <c r="AV221" s="83"/>
      <c r="AW221" s="83"/>
      <c r="AX221" s="83"/>
      <c r="AY221" s="83"/>
      <c r="AZ221" s="83"/>
      <c r="BA221" s="83"/>
      <c r="BB221" s="83"/>
      <c r="BC221" s="83"/>
      <c r="BD221" s="83"/>
      <c r="BE221" s="83"/>
      <c r="BF221" s="83"/>
      <c r="BG221" s="83"/>
      <c r="BH221" s="83"/>
      <c r="BI221" s="83"/>
      <c r="BJ221" s="83"/>
      <c r="BK221" s="83"/>
      <c r="BL221" s="83"/>
      <c r="BM221" s="83"/>
      <c r="BN221" s="84"/>
      <c r="BO221" s="84"/>
      <c r="BP221" s="129"/>
      <c r="BQ221" s="129"/>
      <c r="BR221" s="129"/>
      <c r="BS221" s="129"/>
      <c r="BT221" s="129"/>
      <c r="BU221" s="129"/>
      <c r="BV221" s="129"/>
      <c r="BW221" s="129"/>
      <c r="BX221" s="129"/>
    </row>
    <row r="222" spans="6:76" ht="21" customHeight="1"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3"/>
      <c r="AJ222" s="83"/>
      <c r="AK222" s="83"/>
      <c r="AL222" s="83"/>
      <c r="AM222" s="83"/>
      <c r="AN222" s="83"/>
      <c r="AO222" s="83"/>
      <c r="AP222" s="83"/>
      <c r="AQ222" s="83"/>
      <c r="AR222" s="83"/>
      <c r="AS222" s="83"/>
      <c r="AT222" s="83"/>
      <c r="AU222" s="83"/>
      <c r="AV222" s="83"/>
      <c r="AW222" s="83"/>
      <c r="AX222" s="83"/>
      <c r="AY222" s="83"/>
      <c r="AZ222" s="83"/>
      <c r="BA222" s="83"/>
      <c r="BB222" s="83"/>
      <c r="BC222" s="83"/>
      <c r="BD222" s="83"/>
      <c r="BE222" s="83"/>
      <c r="BF222" s="83"/>
      <c r="BG222" s="83"/>
      <c r="BH222" s="83"/>
      <c r="BI222" s="83"/>
      <c r="BJ222" s="83"/>
      <c r="BK222" s="83"/>
      <c r="BL222" s="83"/>
      <c r="BM222" s="83"/>
      <c r="BN222" s="84"/>
      <c r="BO222" s="84"/>
      <c r="BP222" s="129"/>
      <c r="BQ222" s="129"/>
      <c r="BR222" s="129"/>
      <c r="BS222" s="129"/>
      <c r="BT222" s="129"/>
      <c r="BU222" s="129"/>
      <c r="BV222" s="129"/>
      <c r="BW222" s="129"/>
      <c r="BX222" s="129"/>
    </row>
    <row r="223" spans="6:76" ht="21" customHeight="1"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  <c r="AL223" s="83"/>
      <c r="AM223" s="83"/>
      <c r="AN223" s="83"/>
      <c r="AO223" s="83"/>
      <c r="AP223" s="83"/>
      <c r="AQ223" s="83"/>
      <c r="AR223" s="83"/>
      <c r="AS223" s="83"/>
      <c r="AT223" s="83"/>
      <c r="AU223" s="83"/>
      <c r="AV223" s="83"/>
      <c r="AW223" s="83"/>
      <c r="AX223" s="83"/>
      <c r="AY223" s="83"/>
      <c r="AZ223" s="83"/>
      <c r="BA223" s="83"/>
      <c r="BB223" s="83"/>
      <c r="BC223" s="83"/>
      <c r="BD223" s="83"/>
      <c r="BE223" s="83"/>
      <c r="BF223" s="83"/>
      <c r="BG223" s="83"/>
      <c r="BH223" s="83"/>
      <c r="BI223" s="83"/>
      <c r="BJ223" s="83"/>
      <c r="BK223" s="83"/>
      <c r="BL223" s="83"/>
      <c r="BM223" s="83"/>
      <c r="BN223" s="84"/>
      <c r="BO223" s="84"/>
      <c r="BP223" s="129"/>
      <c r="BQ223" s="129"/>
      <c r="BR223" s="129"/>
      <c r="BS223" s="129"/>
      <c r="BT223" s="129"/>
      <c r="BU223" s="129"/>
      <c r="BV223" s="129"/>
      <c r="BW223" s="129"/>
      <c r="BX223" s="129"/>
    </row>
    <row r="224" spans="6:76" ht="21" customHeight="1"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3"/>
      <c r="AJ224" s="83"/>
      <c r="AK224" s="83"/>
      <c r="AL224" s="83"/>
      <c r="AM224" s="83"/>
      <c r="AN224" s="83"/>
      <c r="AO224" s="83"/>
      <c r="AP224" s="83"/>
      <c r="AQ224" s="83"/>
      <c r="AR224" s="83"/>
      <c r="AS224" s="83"/>
      <c r="AT224" s="83"/>
      <c r="AU224" s="83"/>
      <c r="AV224" s="83"/>
      <c r="AW224" s="83"/>
      <c r="AX224" s="83"/>
      <c r="AY224" s="83"/>
      <c r="AZ224" s="83"/>
      <c r="BA224" s="83"/>
      <c r="BB224" s="83"/>
      <c r="BC224" s="83"/>
      <c r="BD224" s="83"/>
      <c r="BE224" s="83"/>
      <c r="BF224" s="83"/>
      <c r="BG224" s="83"/>
      <c r="BH224" s="83"/>
      <c r="BI224" s="83"/>
      <c r="BJ224" s="83"/>
      <c r="BK224" s="83"/>
      <c r="BL224" s="83"/>
      <c r="BM224" s="83"/>
      <c r="BN224" s="84"/>
      <c r="BO224" s="84"/>
      <c r="BP224" s="129"/>
      <c r="BQ224" s="129"/>
      <c r="BR224" s="129"/>
      <c r="BS224" s="129"/>
      <c r="BT224" s="129"/>
      <c r="BU224" s="129"/>
      <c r="BV224" s="129"/>
      <c r="BW224" s="129"/>
      <c r="BX224" s="129"/>
    </row>
    <row r="225" spans="6:76" ht="21" customHeight="1"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  <c r="AI225" s="83"/>
      <c r="AJ225" s="83"/>
      <c r="AK225" s="83"/>
      <c r="AL225" s="83"/>
      <c r="AM225" s="83"/>
      <c r="AN225" s="83"/>
      <c r="AO225" s="83"/>
      <c r="AP225" s="83"/>
      <c r="AQ225" s="83"/>
      <c r="AR225" s="83"/>
      <c r="AS225" s="83"/>
      <c r="AT225" s="83"/>
      <c r="AU225" s="83"/>
      <c r="AV225" s="83"/>
      <c r="AW225" s="83"/>
      <c r="AX225" s="83"/>
      <c r="AY225" s="83"/>
      <c r="AZ225" s="83"/>
      <c r="BA225" s="83"/>
      <c r="BB225" s="83"/>
      <c r="BC225" s="83"/>
      <c r="BD225" s="83"/>
      <c r="BE225" s="83"/>
      <c r="BF225" s="83"/>
      <c r="BG225" s="83"/>
      <c r="BH225" s="83"/>
      <c r="BI225" s="83"/>
      <c r="BJ225" s="83"/>
      <c r="BK225" s="83"/>
      <c r="BL225" s="83"/>
      <c r="BM225" s="83"/>
      <c r="BN225" s="84"/>
      <c r="BO225" s="84"/>
      <c r="BP225" s="129"/>
      <c r="BQ225" s="129"/>
      <c r="BR225" s="129"/>
      <c r="BS225" s="129"/>
      <c r="BT225" s="129"/>
      <c r="BU225" s="129"/>
      <c r="BV225" s="129"/>
      <c r="BW225" s="129"/>
      <c r="BX225" s="129"/>
    </row>
    <row r="226" spans="6:76" ht="21" customHeight="1"/>
    <row r="227" spans="6:76" ht="21" customHeight="1"/>
    <row r="228" spans="6:76" ht="21" customHeight="1"/>
    <row r="229" spans="6:76" ht="21" customHeight="1"/>
    <row r="230" spans="6:76" ht="21" customHeight="1"/>
    <row r="231" spans="6:76" ht="21" customHeight="1"/>
    <row r="232" spans="6:76" ht="21" customHeight="1"/>
    <row r="233" spans="6:76" ht="21" customHeight="1"/>
    <row r="234" spans="6:76" ht="21" customHeight="1"/>
    <row r="235" spans="6:76" ht="21" customHeight="1"/>
    <row r="236" spans="6:76" ht="21" customHeight="1"/>
    <row r="237" spans="6:76" ht="21" customHeight="1"/>
    <row r="238" spans="6:76" ht="21" customHeight="1"/>
    <row r="239" spans="6:76" ht="21" customHeight="1"/>
    <row r="240" spans="6:76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  <row r="422" ht="21" customHeight="1"/>
    <row r="423" ht="21" customHeight="1"/>
    <row r="424" ht="21" customHeight="1"/>
    <row r="425" ht="21" customHeight="1"/>
    <row r="426" ht="21" customHeight="1"/>
    <row r="427" ht="21" customHeight="1"/>
    <row r="428" ht="21" customHeight="1"/>
    <row r="429" ht="21" customHeight="1"/>
    <row r="430" ht="21" customHeight="1"/>
    <row r="431" ht="21" customHeight="1"/>
    <row r="432" ht="21" customHeight="1"/>
    <row r="433" ht="21" customHeight="1"/>
    <row r="434" ht="21" customHeight="1"/>
    <row r="435" ht="21" customHeight="1"/>
    <row r="436" ht="21" customHeight="1"/>
    <row r="437" ht="21" customHeight="1"/>
    <row r="438" ht="21" customHeight="1"/>
    <row r="439" ht="21" customHeight="1"/>
    <row r="440" ht="21" customHeight="1"/>
    <row r="441" ht="21" customHeight="1"/>
    <row r="442" ht="21" customHeight="1"/>
    <row r="443" ht="21" customHeight="1"/>
    <row r="444" ht="21" customHeight="1"/>
    <row r="445" ht="21" customHeight="1"/>
    <row r="446" ht="21" customHeight="1"/>
    <row r="447" ht="21" customHeight="1"/>
    <row r="448" ht="21" customHeight="1"/>
    <row r="449" ht="21" customHeight="1"/>
    <row r="450" ht="21" customHeight="1"/>
    <row r="451" ht="21" customHeight="1"/>
    <row r="452" ht="21" customHeight="1"/>
    <row r="453" ht="21" customHeight="1"/>
    <row r="454" ht="21" customHeight="1"/>
    <row r="455" ht="21" customHeight="1"/>
    <row r="456" ht="21" customHeight="1"/>
    <row r="457" ht="21" customHeight="1"/>
    <row r="458" ht="21" customHeight="1"/>
    <row r="459" ht="21" customHeight="1"/>
    <row r="460" ht="21" customHeight="1"/>
    <row r="461" ht="21" customHeight="1"/>
    <row r="462" ht="21" customHeight="1"/>
    <row r="463" ht="21" customHeight="1"/>
    <row r="464" ht="21" customHeight="1"/>
    <row r="465" ht="21" customHeight="1"/>
    <row r="466" ht="21" customHeight="1"/>
    <row r="467" ht="21" customHeight="1"/>
    <row r="468" ht="21" customHeight="1"/>
    <row r="469" ht="21" customHeight="1"/>
    <row r="470" ht="21" customHeight="1"/>
    <row r="471" ht="21" customHeight="1"/>
    <row r="472" ht="21" customHeight="1"/>
    <row r="473" ht="21" customHeight="1"/>
    <row r="474" ht="21" customHeight="1"/>
    <row r="475" ht="21" customHeight="1"/>
    <row r="476" ht="21" customHeight="1"/>
    <row r="477" ht="21" customHeight="1"/>
    <row r="478" ht="21" customHeight="1"/>
    <row r="479" ht="21" customHeight="1"/>
    <row r="480" ht="21" customHeight="1"/>
    <row r="481" ht="21" customHeight="1"/>
    <row r="482" ht="21" customHeight="1"/>
    <row r="483" ht="21" customHeight="1"/>
    <row r="484" ht="21" customHeight="1"/>
    <row r="485" ht="21" customHeight="1"/>
    <row r="486" ht="21" customHeight="1"/>
    <row r="487" ht="21" customHeight="1"/>
    <row r="488" ht="21" customHeight="1"/>
    <row r="489" ht="21" customHeight="1"/>
    <row r="490" ht="21" customHeight="1"/>
    <row r="491" ht="21" customHeight="1"/>
    <row r="492" ht="21" customHeight="1"/>
    <row r="493" ht="21" customHeight="1"/>
    <row r="494" ht="21" customHeight="1"/>
    <row r="495" ht="21" customHeight="1"/>
    <row r="496" ht="21" customHeight="1"/>
    <row r="497" ht="21" customHeight="1"/>
    <row r="498" ht="21" customHeight="1"/>
    <row r="499" ht="21" customHeight="1"/>
    <row r="500" ht="21" customHeight="1"/>
    <row r="501" ht="21" customHeight="1"/>
    <row r="502" ht="21" customHeight="1"/>
    <row r="503" ht="21" customHeight="1"/>
    <row r="504" ht="21" customHeight="1"/>
    <row r="505" ht="21" customHeight="1"/>
    <row r="506" ht="21" customHeight="1"/>
    <row r="507" ht="21" customHeight="1"/>
    <row r="508" ht="21" customHeight="1"/>
    <row r="509" ht="21" customHeight="1"/>
    <row r="510" ht="21" customHeight="1"/>
    <row r="511" ht="21" customHeight="1"/>
    <row r="512" ht="21" customHeight="1"/>
    <row r="513" ht="21" customHeight="1"/>
    <row r="514" ht="21" customHeight="1"/>
    <row r="515" ht="21" customHeight="1"/>
    <row r="516" ht="21" customHeight="1"/>
    <row r="517" ht="21" customHeight="1"/>
    <row r="518" ht="21" customHeight="1"/>
    <row r="519" ht="21" customHeight="1"/>
    <row r="520" ht="21" customHeight="1"/>
    <row r="521" ht="21" customHeight="1"/>
    <row r="522" ht="21" customHeight="1"/>
    <row r="523" ht="21" customHeight="1"/>
    <row r="524" ht="21" customHeight="1"/>
    <row r="525" ht="21" customHeight="1"/>
    <row r="526" ht="21" customHeight="1"/>
    <row r="527" ht="21" customHeight="1"/>
    <row r="528" ht="21" customHeight="1"/>
    <row r="529" ht="21" customHeight="1"/>
    <row r="530" ht="21" customHeight="1"/>
    <row r="531" ht="21" customHeight="1"/>
    <row r="532" ht="21" customHeight="1"/>
    <row r="533" ht="21" customHeight="1"/>
    <row r="534" ht="21" customHeight="1"/>
    <row r="535" ht="21" customHeight="1"/>
    <row r="536" ht="21" customHeight="1"/>
    <row r="537" ht="21" customHeight="1"/>
    <row r="538" ht="21" customHeight="1"/>
    <row r="539" ht="21" customHeight="1"/>
    <row r="540" ht="21" customHeight="1"/>
    <row r="541" ht="21" customHeight="1"/>
    <row r="542" ht="21" customHeight="1"/>
    <row r="543" ht="21" customHeight="1"/>
    <row r="544" ht="21" customHeight="1"/>
    <row r="545" ht="21" customHeight="1"/>
    <row r="546" ht="21" customHeight="1"/>
    <row r="547" ht="21" customHeight="1"/>
    <row r="548" ht="21" customHeight="1"/>
    <row r="549" ht="21" customHeight="1"/>
    <row r="550" ht="21" customHeight="1"/>
    <row r="551" ht="21" customHeight="1"/>
    <row r="552" ht="21" customHeight="1"/>
    <row r="553" ht="21" customHeight="1"/>
    <row r="554" ht="21" customHeight="1"/>
    <row r="555" ht="21" customHeight="1"/>
    <row r="556" ht="21" customHeight="1"/>
    <row r="557" ht="21" customHeight="1"/>
    <row r="558" ht="21" customHeight="1"/>
    <row r="559" ht="21" customHeight="1"/>
    <row r="560" ht="21" customHeight="1"/>
    <row r="561" ht="21" customHeight="1"/>
    <row r="562" ht="21" customHeight="1"/>
    <row r="563" ht="21" customHeight="1"/>
    <row r="564" ht="21" customHeight="1"/>
    <row r="565" ht="21" customHeight="1"/>
    <row r="566" ht="21" customHeight="1"/>
    <row r="567" ht="21" customHeight="1"/>
    <row r="568" ht="21" customHeight="1"/>
    <row r="569" ht="21" customHeight="1"/>
    <row r="570" ht="21" customHeight="1"/>
    <row r="571" ht="21" customHeight="1"/>
    <row r="572" ht="21" customHeight="1"/>
    <row r="573" ht="21" customHeight="1"/>
    <row r="574" ht="21" customHeight="1"/>
    <row r="575" ht="21" customHeight="1"/>
    <row r="576" ht="21" customHeight="1"/>
    <row r="577" ht="21" customHeight="1"/>
    <row r="578" ht="21" customHeight="1"/>
    <row r="579" ht="21" customHeight="1"/>
    <row r="580" ht="21" customHeight="1"/>
    <row r="581" ht="21" customHeight="1"/>
    <row r="582" ht="21" customHeight="1"/>
    <row r="583" ht="21" customHeight="1"/>
    <row r="584" ht="21" customHeight="1"/>
    <row r="585" ht="21" customHeight="1"/>
    <row r="586" ht="21" customHeight="1"/>
    <row r="587" ht="21" customHeight="1"/>
    <row r="588" ht="21" customHeight="1"/>
    <row r="589" ht="21" customHeight="1"/>
    <row r="590" ht="21" customHeight="1"/>
    <row r="591" ht="21" customHeight="1"/>
    <row r="592" ht="21" customHeight="1"/>
    <row r="593" ht="21" customHeight="1"/>
    <row r="594" ht="21" customHeight="1"/>
    <row r="595" ht="21" customHeight="1"/>
    <row r="596" ht="21" customHeight="1"/>
    <row r="597" ht="21" customHeight="1"/>
    <row r="598" ht="21" customHeight="1"/>
    <row r="599" ht="21" customHeight="1"/>
    <row r="600" ht="21" customHeight="1"/>
    <row r="601" ht="21" customHeight="1"/>
    <row r="602" ht="21" customHeight="1"/>
    <row r="603" ht="21" customHeight="1"/>
    <row r="604" ht="21" customHeight="1"/>
    <row r="605" ht="21" customHeight="1"/>
    <row r="606" ht="21" customHeight="1"/>
    <row r="607" ht="21" customHeight="1"/>
    <row r="608" ht="21" customHeight="1"/>
    <row r="609" ht="21" customHeight="1"/>
    <row r="610" ht="21" customHeight="1"/>
    <row r="611" ht="21" customHeight="1"/>
    <row r="612" ht="21" customHeight="1"/>
    <row r="613" ht="21" customHeight="1"/>
    <row r="614" ht="21" customHeight="1"/>
    <row r="615" ht="21" customHeight="1"/>
    <row r="616" ht="21" customHeight="1"/>
    <row r="617" ht="21" customHeight="1"/>
    <row r="618" ht="21" customHeight="1"/>
    <row r="619" ht="21" customHeight="1"/>
    <row r="620" ht="21" customHeight="1"/>
    <row r="621" ht="21" customHeight="1"/>
    <row r="622" ht="21" customHeight="1"/>
    <row r="623" ht="21" customHeight="1"/>
    <row r="624" ht="21" customHeight="1"/>
    <row r="625" ht="21" customHeight="1"/>
    <row r="626" ht="21" customHeight="1"/>
    <row r="627" ht="21" customHeight="1"/>
    <row r="628" ht="21" customHeight="1"/>
    <row r="629" ht="21" customHeight="1"/>
    <row r="630" ht="21" customHeight="1"/>
    <row r="631" ht="21" customHeight="1"/>
    <row r="632" ht="21" customHeight="1"/>
    <row r="633" ht="21" customHeight="1"/>
    <row r="634" ht="21" customHeight="1"/>
    <row r="635" ht="21" customHeight="1"/>
    <row r="636" ht="21" customHeight="1"/>
    <row r="637" ht="21" customHeight="1"/>
    <row r="638" ht="21" customHeight="1"/>
    <row r="639" ht="21" customHeight="1"/>
    <row r="640" ht="21" customHeight="1"/>
    <row r="641" ht="21" customHeight="1"/>
    <row r="642" ht="21" customHeight="1"/>
    <row r="643" ht="21" customHeight="1"/>
    <row r="644" ht="21" customHeight="1"/>
    <row r="645" ht="21" customHeight="1"/>
    <row r="646" ht="21" customHeight="1"/>
    <row r="647" ht="21" customHeight="1"/>
    <row r="648" ht="21" customHeight="1"/>
    <row r="649" ht="21" customHeight="1"/>
    <row r="650" ht="21" customHeight="1"/>
    <row r="651" ht="21" customHeight="1"/>
    <row r="652" ht="21" customHeight="1"/>
    <row r="653" ht="21" customHeight="1"/>
    <row r="654" ht="21" customHeight="1"/>
    <row r="655" ht="21" customHeight="1"/>
    <row r="656" ht="21" customHeight="1"/>
    <row r="657" ht="21" customHeight="1"/>
    <row r="658" ht="21" customHeight="1"/>
    <row r="659" ht="21" customHeight="1"/>
    <row r="660" ht="21" customHeight="1"/>
    <row r="661" ht="21" customHeight="1"/>
    <row r="662" ht="21" customHeight="1"/>
    <row r="663" ht="21" customHeight="1"/>
    <row r="664" ht="21" customHeight="1"/>
    <row r="665" ht="21" customHeight="1"/>
    <row r="666" ht="21" customHeight="1"/>
    <row r="667" ht="21" customHeight="1"/>
    <row r="668" ht="21" customHeight="1"/>
    <row r="669" ht="21" customHeight="1"/>
    <row r="670" ht="21" customHeight="1"/>
    <row r="671" ht="21" customHeight="1"/>
    <row r="672" ht="21" customHeight="1"/>
    <row r="673" ht="21" customHeight="1"/>
    <row r="674" ht="21" customHeight="1"/>
    <row r="675" ht="21" customHeight="1"/>
    <row r="676" ht="21" customHeight="1"/>
    <row r="677" ht="21" customHeight="1"/>
    <row r="678" ht="21" customHeight="1"/>
    <row r="679" ht="21" customHeight="1"/>
    <row r="680" ht="21" customHeight="1"/>
    <row r="681" ht="21" customHeight="1"/>
    <row r="682" ht="21" customHeight="1"/>
    <row r="683" ht="21" customHeight="1"/>
    <row r="684" ht="21" customHeight="1"/>
    <row r="685" ht="21" customHeight="1"/>
    <row r="686" ht="21" customHeight="1"/>
    <row r="687" ht="21" customHeight="1"/>
    <row r="688" ht="21" customHeight="1"/>
    <row r="689" ht="21" customHeight="1"/>
    <row r="690" ht="21" customHeight="1"/>
    <row r="691" ht="21" customHeight="1"/>
    <row r="692" ht="21" customHeight="1"/>
    <row r="693" ht="21" customHeight="1"/>
    <row r="694" ht="21" customHeight="1"/>
    <row r="695" ht="21" customHeight="1"/>
    <row r="696" ht="21" customHeight="1"/>
    <row r="697" ht="21" customHeight="1"/>
    <row r="698" ht="21" customHeight="1"/>
    <row r="699" ht="21" customHeight="1"/>
    <row r="700" ht="21" customHeight="1"/>
    <row r="701" ht="21" customHeight="1"/>
    <row r="702" ht="21" customHeight="1"/>
    <row r="703" ht="21" customHeight="1"/>
    <row r="704" ht="21" customHeight="1"/>
    <row r="705" ht="21" customHeight="1"/>
    <row r="706" ht="21" customHeight="1"/>
    <row r="707" ht="21" customHeight="1"/>
    <row r="708" ht="21" customHeight="1"/>
    <row r="709" ht="21" customHeight="1"/>
    <row r="710" ht="21" customHeight="1"/>
    <row r="711" ht="21" customHeight="1"/>
    <row r="712" ht="21" customHeight="1"/>
    <row r="713" ht="21" customHeight="1"/>
    <row r="714" ht="21" customHeight="1"/>
    <row r="715" ht="21" customHeight="1"/>
    <row r="716" ht="21" customHeight="1"/>
    <row r="717" ht="21" customHeight="1"/>
    <row r="718" ht="21" customHeight="1"/>
    <row r="719" ht="21" customHeight="1"/>
    <row r="720" ht="21" customHeight="1"/>
    <row r="721" ht="21" customHeight="1"/>
    <row r="722" ht="21" customHeight="1"/>
    <row r="723" ht="21" customHeight="1"/>
    <row r="724" ht="21" customHeight="1"/>
    <row r="725" ht="21" customHeight="1"/>
    <row r="726" ht="21" customHeight="1"/>
    <row r="727" ht="21" customHeight="1"/>
    <row r="728" ht="21" customHeight="1"/>
    <row r="729" ht="21" customHeight="1"/>
    <row r="730" ht="21" customHeight="1"/>
    <row r="731" ht="21" customHeight="1"/>
    <row r="732" ht="21" customHeight="1"/>
    <row r="733" ht="21" customHeight="1"/>
    <row r="734" ht="21" customHeight="1"/>
    <row r="735" ht="21" customHeight="1"/>
    <row r="736" ht="21" customHeight="1"/>
    <row r="737" ht="21" customHeight="1"/>
    <row r="738" ht="21" customHeight="1"/>
    <row r="739" ht="21" customHeight="1"/>
    <row r="740" ht="21" customHeight="1"/>
    <row r="741" ht="21" customHeight="1"/>
    <row r="742" ht="21" customHeight="1"/>
    <row r="743" ht="21" customHeight="1"/>
    <row r="744" ht="21" customHeight="1"/>
    <row r="745" ht="21" customHeight="1"/>
    <row r="746" ht="21" customHeight="1"/>
    <row r="747" ht="21" customHeight="1"/>
    <row r="748" ht="21" customHeight="1"/>
    <row r="749" ht="21" customHeight="1"/>
    <row r="750" ht="21" customHeight="1"/>
    <row r="751" ht="21" customHeight="1"/>
    <row r="752" ht="21" customHeight="1"/>
    <row r="753" ht="21" customHeight="1"/>
    <row r="754" ht="21" customHeight="1"/>
    <row r="755" ht="21" customHeight="1"/>
    <row r="756" ht="21" customHeight="1"/>
    <row r="757" ht="21" customHeight="1"/>
    <row r="758" ht="21" customHeight="1"/>
    <row r="759" ht="21" customHeight="1"/>
    <row r="760" ht="21" customHeight="1"/>
    <row r="761" ht="21" customHeight="1"/>
    <row r="762" ht="21" customHeight="1"/>
    <row r="763" ht="21" customHeight="1"/>
    <row r="764" ht="21" customHeight="1"/>
    <row r="765" ht="21" customHeight="1"/>
    <row r="766" ht="21" customHeight="1"/>
    <row r="767" ht="21" customHeight="1"/>
    <row r="768" ht="21" customHeight="1"/>
    <row r="769" ht="21" customHeight="1"/>
    <row r="770" ht="21" customHeight="1"/>
    <row r="771" ht="21" customHeight="1"/>
    <row r="772" ht="21" customHeight="1"/>
    <row r="773" ht="21" customHeight="1"/>
    <row r="774" ht="21" customHeight="1"/>
    <row r="775" ht="21" customHeight="1"/>
    <row r="776" ht="21" customHeight="1"/>
    <row r="777" ht="21" customHeight="1"/>
    <row r="778" ht="21" customHeight="1"/>
    <row r="779" ht="21" customHeight="1"/>
    <row r="780" ht="21" customHeight="1"/>
    <row r="781" ht="21" customHeight="1"/>
    <row r="782" ht="21" customHeight="1"/>
    <row r="783" ht="21" customHeight="1"/>
    <row r="784" ht="21" customHeight="1"/>
    <row r="785" ht="21" customHeight="1"/>
    <row r="786" ht="21" customHeight="1"/>
    <row r="787" ht="21" customHeight="1"/>
    <row r="788" ht="21" customHeight="1"/>
    <row r="789" ht="21" customHeight="1"/>
    <row r="790" ht="21" customHeight="1"/>
    <row r="791" ht="21" customHeight="1"/>
    <row r="792" ht="21" customHeight="1"/>
    <row r="793" ht="21" customHeight="1"/>
    <row r="794" ht="21" customHeight="1"/>
    <row r="795" ht="21" customHeight="1"/>
    <row r="796" ht="21" customHeight="1"/>
    <row r="797" ht="21" customHeight="1"/>
    <row r="798" ht="21" customHeight="1"/>
    <row r="799" ht="21" customHeight="1"/>
    <row r="800" ht="21" customHeight="1"/>
    <row r="801" ht="21" customHeight="1"/>
    <row r="802" ht="21" customHeight="1"/>
    <row r="803" ht="21" customHeight="1"/>
    <row r="804" ht="21" customHeight="1"/>
    <row r="805" ht="21" customHeight="1"/>
    <row r="806" ht="21" customHeight="1"/>
    <row r="807" ht="21" customHeight="1"/>
    <row r="808" ht="21" customHeight="1"/>
    <row r="809" ht="21" customHeight="1"/>
    <row r="810" ht="21" customHeight="1"/>
    <row r="811" ht="21" customHeight="1"/>
    <row r="812" ht="21" customHeight="1"/>
    <row r="813" ht="21" customHeight="1"/>
    <row r="814" ht="21" customHeight="1"/>
    <row r="815" ht="21" customHeight="1"/>
    <row r="816" ht="21" customHeight="1"/>
    <row r="817" ht="21" customHeight="1"/>
    <row r="818" ht="21" customHeight="1"/>
    <row r="819" ht="21" customHeight="1"/>
    <row r="820" ht="21" customHeight="1"/>
    <row r="821" ht="21" customHeight="1"/>
    <row r="822" ht="21" customHeight="1"/>
    <row r="823" ht="21" customHeight="1"/>
    <row r="824" ht="21" customHeight="1"/>
    <row r="825" ht="21" customHeight="1"/>
    <row r="826" ht="21" customHeight="1"/>
    <row r="827" ht="21" customHeight="1"/>
    <row r="828" ht="21" customHeight="1"/>
    <row r="829" ht="21" customHeight="1"/>
    <row r="830" ht="21" customHeight="1"/>
    <row r="831" ht="21" customHeight="1"/>
    <row r="832" ht="21" customHeight="1"/>
    <row r="833" ht="21" customHeight="1"/>
    <row r="834" ht="21" customHeight="1"/>
    <row r="835" ht="21" customHeight="1"/>
    <row r="836" ht="21" customHeight="1"/>
    <row r="837" ht="21" customHeight="1"/>
    <row r="838" ht="21" customHeight="1"/>
    <row r="839" ht="21" customHeight="1"/>
    <row r="840" ht="21" customHeight="1"/>
    <row r="841" ht="21" customHeight="1"/>
    <row r="842" ht="21" customHeight="1"/>
    <row r="843" ht="21" customHeight="1"/>
    <row r="844" ht="21" customHeight="1"/>
    <row r="845" ht="21" customHeight="1"/>
    <row r="846" ht="21" customHeight="1"/>
    <row r="847" ht="21" customHeight="1"/>
    <row r="848" ht="21" customHeight="1"/>
    <row r="849" ht="21" customHeight="1"/>
    <row r="850" ht="21" customHeight="1"/>
    <row r="851" ht="21" customHeight="1"/>
    <row r="852" ht="21" customHeight="1"/>
    <row r="853" ht="21" customHeight="1"/>
    <row r="854" ht="21" customHeight="1"/>
    <row r="855" ht="21" customHeight="1"/>
    <row r="856" ht="21" customHeight="1"/>
    <row r="857" ht="21" customHeight="1"/>
    <row r="858" ht="21" customHeight="1"/>
    <row r="859" ht="21" customHeight="1"/>
    <row r="860" ht="21" customHeight="1"/>
    <row r="861" ht="21" customHeight="1"/>
    <row r="862" ht="21" customHeight="1"/>
    <row r="863" ht="21" customHeight="1"/>
    <row r="864" ht="21" customHeight="1"/>
    <row r="865" ht="21" customHeight="1"/>
    <row r="866" ht="21" customHeight="1"/>
    <row r="867" ht="21" customHeight="1"/>
    <row r="868" ht="21" customHeight="1"/>
    <row r="869" ht="21" customHeight="1"/>
    <row r="870" ht="21" customHeight="1"/>
    <row r="871" ht="21" customHeight="1"/>
    <row r="872" ht="21" customHeight="1"/>
    <row r="873" ht="21" customHeight="1"/>
    <row r="874" ht="21" customHeight="1"/>
    <row r="875" ht="21" customHeight="1"/>
    <row r="876" ht="21" customHeight="1"/>
    <row r="877" ht="21" customHeight="1"/>
    <row r="878" ht="21" customHeight="1"/>
    <row r="879" ht="21" customHeight="1"/>
    <row r="880" ht="21" customHeight="1"/>
    <row r="881" ht="21" customHeight="1"/>
    <row r="882" ht="21" customHeight="1"/>
    <row r="883" ht="21" customHeight="1"/>
    <row r="884" ht="21" customHeight="1"/>
    <row r="885" ht="21" customHeight="1"/>
    <row r="886" ht="21" customHeight="1"/>
    <row r="887" ht="21" customHeight="1"/>
    <row r="888" ht="21" customHeight="1"/>
    <row r="889" ht="21" customHeight="1"/>
    <row r="890" ht="21" customHeight="1"/>
    <row r="891" ht="21" customHeight="1"/>
    <row r="892" ht="21" customHeight="1"/>
    <row r="893" ht="21" customHeight="1"/>
    <row r="894" ht="21" customHeight="1"/>
    <row r="895" ht="21" customHeight="1"/>
    <row r="896" ht="21" customHeight="1"/>
    <row r="897" ht="21" customHeight="1"/>
    <row r="898" ht="21" customHeight="1"/>
    <row r="899" ht="21" customHeight="1"/>
    <row r="900" ht="21" customHeight="1"/>
    <row r="901" ht="21" customHeight="1"/>
    <row r="902" ht="21" customHeight="1"/>
    <row r="903" ht="21" customHeight="1"/>
    <row r="904" ht="21" customHeight="1"/>
    <row r="905" ht="21" customHeight="1"/>
    <row r="906" ht="21" customHeight="1"/>
    <row r="907" ht="21" customHeight="1"/>
    <row r="908" ht="21" customHeight="1"/>
    <row r="909" ht="21" customHeight="1"/>
    <row r="910" ht="21" customHeight="1"/>
    <row r="911" ht="21" customHeight="1"/>
    <row r="912" ht="21" customHeight="1"/>
    <row r="913" ht="21" customHeight="1"/>
    <row r="914" ht="21" customHeight="1"/>
    <row r="915" ht="21" customHeight="1"/>
    <row r="916" ht="21" customHeight="1"/>
    <row r="917" ht="21" customHeight="1"/>
    <row r="918" ht="21" customHeight="1"/>
    <row r="919" ht="21" customHeight="1"/>
    <row r="920" ht="21" customHeight="1"/>
    <row r="921" ht="21" customHeight="1"/>
    <row r="922" ht="21" customHeight="1"/>
    <row r="923" ht="21" customHeight="1"/>
    <row r="924" ht="21" customHeight="1"/>
    <row r="925" ht="21" customHeight="1"/>
    <row r="926" ht="21" customHeight="1"/>
    <row r="927" ht="21" customHeight="1"/>
    <row r="928" ht="21" customHeight="1"/>
    <row r="929" ht="21" customHeight="1"/>
    <row r="930" ht="21" customHeight="1"/>
    <row r="931" ht="21" customHeight="1"/>
    <row r="932" ht="21" customHeight="1"/>
    <row r="933" ht="21" customHeight="1"/>
    <row r="934" ht="21" customHeight="1"/>
    <row r="935" ht="21" customHeight="1"/>
    <row r="936" ht="21" customHeight="1"/>
    <row r="937" ht="21" customHeight="1"/>
    <row r="938" ht="21" customHeight="1"/>
    <row r="939" ht="21" customHeight="1"/>
    <row r="940" ht="21" customHeight="1"/>
    <row r="941" ht="21" customHeight="1"/>
    <row r="942" ht="21" customHeight="1"/>
    <row r="943" ht="21" customHeight="1"/>
    <row r="944" ht="21" customHeight="1"/>
    <row r="945" ht="21" customHeight="1"/>
    <row r="946" ht="21" customHeight="1"/>
    <row r="947" ht="21" customHeight="1"/>
    <row r="948" ht="21" customHeight="1"/>
    <row r="949" ht="21" customHeight="1"/>
    <row r="950" ht="21" customHeight="1"/>
    <row r="951" ht="21" customHeight="1"/>
    <row r="952" ht="21" customHeight="1"/>
    <row r="953" ht="21" customHeight="1"/>
    <row r="954" ht="21" customHeight="1"/>
    <row r="955" ht="21" customHeight="1"/>
    <row r="956" ht="21" customHeight="1"/>
    <row r="957" ht="21" customHeight="1"/>
    <row r="958" ht="21" customHeight="1"/>
    <row r="959" ht="21" customHeight="1"/>
    <row r="960" ht="21" customHeight="1"/>
    <row r="961" ht="21" customHeight="1"/>
    <row r="962" ht="21" customHeight="1"/>
    <row r="963" ht="21" customHeight="1"/>
    <row r="964" ht="21" customHeight="1"/>
    <row r="965" ht="21" customHeight="1"/>
    <row r="966" ht="21" customHeight="1"/>
    <row r="967" ht="21" customHeight="1"/>
    <row r="968" ht="21" customHeight="1"/>
    <row r="969" ht="21" customHeight="1"/>
    <row r="970" ht="21" customHeight="1"/>
    <row r="971" ht="21" customHeight="1"/>
    <row r="972" ht="21" customHeight="1"/>
  </sheetData>
  <mergeCells count="41">
    <mergeCell ref="A3:BY3"/>
    <mergeCell ref="AD4:AE4"/>
    <mergeCell ref="AP4:AQ4"/>
    <mergeCell ref="N4:O4"/>
    <mergeCell ref="BN4:BO4"/>
    <mergeCell ref="B28:C28"/>
    <mergeCell ref="BP4:BS4"/>
    <mergeCell ref="E4:E6"/>
    <mergeCell ref="C4:C6"/>
    <mergeCell ref="X4:Y4"/>
    <mergeCell ref="AJ4:AK4"/>
    <mergeCell ref="Z4:AA4"/>
    <mergeCell ref="AL4:AM4"/>
    <mergeCell ref="A4:A6"/>
    <mergeCell ref="B4:B6"/>
    <mergeCell ref="AR4:AS4"/>
    <mergeCell ref="AV4:AW4"/>
    <mergeCell ref="AT4:AU4"/>
    <mergeCell ref="J4:K4"/>
    <mergeCell ref="L4:M4"/>
    <mergeCell ref="BJ4:BK4"/>
    <mergeCell ref="BT4:BW4"/>
    <mergeCell ref="AD5:AE5"/>
    <mergeCell ref="H4:I4"/>
    <mergeCell ref="AB4:AC4"/>
    <mergeCell ref="R4:S4"/>
    <mergeCell ref="T4:U4"/>
    <mergeCell ref="AF4:AG4"/>
    <mergeCell ref="V4:W4"/>
    <mergeCell ref="AH4:AI4"/>
    <mergeCell ref="AN4:AO4"/>
    <mergeCell ref="AZ4:BA4"/>
    <mergeCell ref="BB4:BC4"/>
    <mergeCell ref="BD4:BE4"/>
    <mergeCell ref="BF4:BG4"/>
    <mergeCell ref="BL4:BM4"/>
    <mergeCell ref="D4:D6"/>
    <mergeCell ref="AX4:AY4"/>
    <mergeCell ref="P4:Q4"/>
    <mergeCell ref="F4:G4"/>
    <mergeCell ref="BH4:BI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8"/>
  <sheetViews>
    <sheetView zoomScale="70" zoomScaleNormal="70" workbookViewId="0">
      <selection activeCell="C16" sqref="C16"/>
    </sheetView>
  </sheetViews>
  <sheetFormatPr baseColWidth="10" defaultColWidth="8.83203125" defaultRowHeight="14"/>
  <cols>
    <col min="1" max="1" width="4.83203125" style="144" bestFit="1" customWidth="1"/>
    <col min="2" max="2" width="16.83203125" style="144" bestFit="1" customWidth="1"/>
    <col min="3" max="3" width="28.83203125" style="144" bestFit="1" customWidth="1"/>
    <col min="4" max="4" width="28.83203125" style="144" customWidth="1"/>
  </cols>
  <sheetData>
    <row r="1" spans="1:36" ht="19.75" customHeight="1">
      <c r="A1" s="133" t="s">
        <v>0</v>
      </c>
      <c r="B1" s="134" t="s">
        <v>1</v>
      </c>
      <c r="C1" s="135" t="s">
        <v>2</v>
      </c>
      <c r="D1" s="135" t="s">
        <v>3</v>
      </c>
      <c r="E1" s="136">
        <v>46143</v>
      </c>
      <c r="F1" s="136">
        <f t="shared" ref="F1:AI1" si="0">E1+1</f>
        <v>46144</v>
      </c>
      <c r="G1" s="136">
        <f t="shared" si="0"/>
        <v>46145</v>
      </c>
      <c r="H1" s="136">
        <f t="shared" si="0"/>
        <v>46146</v>
      </c>
      <c r="I1" s="136">
        <f t="shared" si="0"/>
        <v>46147</v>
      </c>
      <c r="J1" s="136">
        <f t="shared" si="0"/>
        <v>46148</v>
      </c>
      <c r="K1" s="136">
        <f t="shared" si="0"/>
        <v>46149</v>
      </c>
      <c r="L1" s="136">
        <f t="shared" si="0"/>
        <v>46150</v>
      </c>
      <c r="M1" s="136">
        <f t="shared" si="0"/>
        <v>46151</v>
      </c>
      <c r="N1" s="136">
        <f t="shared" si="0"/>
        <v>46152</v>
      </c>
      <c r="O1" s="136">
        <f t="shared" si="0"/>
        <v>46153</v>
      </c>
      <c r="P1" s="136">
        <f t="shared" si="0"/>
        <v>46154</v>
      </c>
      <c r="Q1" s="136">
        <f t="shared" si="0"/>
        <v>46155</v>
      </c>
      <c r="R1" s="136">
        <f t="shared" si="0"/>
        <v>46156</v>
      </c>
      <c r="S1" s="136">
        <f t="shared" si="0"/>
        <v>46157</v>
      </c>
      <c r="T1" s="136">
        <f t="shared" si="0"/>
        <v>46158</v>
      </c>
      <c r="U1" s="136">
        <f t="shared" si="0"/>
        <v>46159</v>
      </c>
      <c r="V1" s="136">
        <f t="shared" si="0"/>
        <v>46160</v>
      </c>
      <c r="W1" s="136">
        <f t="shared" si="0"/>
        <v>46161</v>
      </c>
      <c r="X1" s="136">
        <f t="shared" si="0"/>
        <v>46162</v>
      </c>
      <c r="Y1" s="136">
        <f t="shared" si="0"/>
        <v>46163</v>
      </c>
      <c r="Z1" s="136">
        <f t="shared" si="0"/>
        <v>46164</v>
      </c>
      <c r="AA1" s="136">
        <f t="shared" si="0"/>
        <v>46165</v>
      </c>
      <c r="AB1" s="136">
        <f t="shared" si="0"/>
        <v>46166</v>
      </c>
      <c r="AC1" s="136">
        <f t="shared" si="0"/>
        <v>46167</v>
      </c>
      <c r="AD1" s="136">
        <f t="shared" si="0"/>
        <v>46168</v>
      </c>
      <c r="AE1" s="136">
        <f t="shared" si="0"/>
        <v>46169</v>
      </c>
      <c r="AF1" s="136">
        <f t="shared" si="0"/>
        <v>46170</v>
      </c>
      <c r="AG1" s="136">
        <f t="shared" si="0"/>
        <v>46171</v>
      </c>
      <c r="AH1" s="136">
        <f t="shared" si="0"/>
        <v>46172</v>
      </c>
      <c r="AI1" s="136">
        <f t="shared" si="0"/>
        <v>46173</v>
      </c>
      <c r="AJ1" s="143" t="s">
        <v>4</v>
      </c>
    </row>
    <row r="2" spans="1:36" ht="17.5" customHeight="1">
      <c r="A2" s="132">
        <v>1</v>
      </c>
      <c r="B2" s="137" t="s">
        <v>5</v>
      </c>
      <c r="C2" s="138" t="s">
        <v>6</v>
      </c>
      <c r="D2" s="138" t="s">
        <v>7</v>
      </c>
      <c r="E2" s="139">
        <v>8</v>
      </c>
      <c r="F2" s="140">
        <v>8</v>
      </c>
      <c r="G2" s="140">
        <v>8</v>
      </c>
      <c r="H2" s="139">
        <v>8</v>
      </c>
      <c r="I2" s="139">
        <v>8</v>
      </c>
      <c r="J2" s="139">
        <v>8</v>
      </c>
      <c r="K2" s="139">
        <v>8</v>
      </c>
      <c r="L2" s="139">
        <v>0</v>
      </c>
      <c r="M2" s="140">
        <v>0</v>
      </c>
      <c r="N2" s="140">
        <v>0</v>
      </c>
      <c r="O2" s="139">
        <v>0</v>
      </c>
      <c r="P2" s="139">
        <v>0</v>
      </c>
      <c r="Q2" s="139">
        <v>0</v>
      </c>
      <c r="R2" s="139">
        <v>0</v>
      </c>
      <c r="S2" s="139">
        <v>0</v>
      </c>
      <c r="T2" s="140"/>
      <c r="U2" s="140"/>
      <c r="V2" s="139"/>
      <c r="W2" s="139"/>
      <c r="X2" s="139"/>
      <c r="Y2" s="139"/>
      <c r="Z2" s="139"/>
      <c r="AA2" s="140"/>
      <c r="AB2" s="140"/>
      <c r="AC2" s="139"/>
      <c r="AD2" s="139"/>
      <c r="AE2" s="139"/>
      <c r="AF2" s="139"/>
      <c r="AG2" s="139"/>
      <c r="AH2" s="140"/>
      <c r="AI2" s="140"/>
      <c r="AJ2">
        <f t="shared" ref="AJ2:AJ8" si="1">SUM(E2:AI2)</f>
        <v>56</v>
      </c>
    </row>
    <row r="3" spans="1:36" ht="17.5" customHeight="1">
      <c r="A3" s="132">
        <v>2</v>
      </c>
      <c r="B3" s="137" t="s">
        <v>8</v>
      </c>
      <c r="C3" s="138" t="s">
        <v>9</v>
      </c>
      <c r="D3" s="138" t="s">
        <v>7</v>
      </c>
      <c r="E3" s="141">
        <v>8</v>
      </c>
      <c r="F3" s="140">
        <v>8</v>
      </c>
      <c r="G3" s="140">
        <v>8</v>
      </c>
      <c r="H3" s="142">
        <v>8</v>
      </c>
      <c r="I3" s="142">
        <v>8</v>
      </c>
      <c r="J3" s="142">
        <v>8</v>
      </c>
      <c r="K3" s="142">
        <v>8</v>
      </c>
      <c r="L3" s="140">
        <v>0</v>
      </c>
      <c r="M3" s="140">
        <v>0</v>
      </c>
      <c r="N3" s="141">
        <v>0</v>
      </c>
      <c r="O3" s="141">
        <v>0</v>
      </c>
      <c r="P3" s="141">
        <v>0</v>
      </c>
      <c r="Q3" s="141">
        <v>0</v>
      </c>
      <c r="R3" s="140">
        <v>0</v>
      </c>
      <c r="S3" s="140">
        <v>0</v>
      </c>
      <c r="T3" s="142"/>
      <c r="U3" s="142"/>
      <c r="V3" s="142"/>
      <c r="W3" s="142"/>
      <c r="X3" s="140"/>
      <c r="Y3" s="140"/>
      <c r="Z3" s="141"/>
      <c r="AA3" s="141"/>
      <c r="AB3" s="141"/>
      <c r="AC3" s="141"/>
      <c r="AD3" s="140"/>
      <c r="AE3" s="140"/>
      <c r="AF3" s="142"/>
      <c r="AG3" s="142"/>
      <c r="AH3" s="142"/>
      <c r="AI3" s="142"/>
      <c r="AJ3">
        <f t="shared" si="1"/>
        <v>56</v>
      </c>
    </row>
    <row r="4" spans="1:36" ht="17.5" customHeight="1">
      <c r="A4" s="132">
        <v>3</v>
      </c>
      <c r="B4" s="137" t="s">
        <v>10</v>
      </c>
      <c r="C4" s="138" t="s">
        <v>11</v>
      </c>
      <c r="D4" s="138" t="s">
        <v>7</v>
      </c>
      <c r="E4" s="139">
        <v>8</v>
      </c>
      <c r="F4" s="140">
        <v>8</v>
      </c>
      <c r="G4" s="140">
        <v>8</v>
      </c>
      <c r="H4" s="139">
        <v>8</v>
      </c>
      <c r="I4" s="139">
        <v>8</v>
      </c>
      <c r="J4" s="139">
        <v>8</v>
      </c>
      <c r="K4" s="139">
        <v>8</v>
      </c>
      <c r="L4" s="139">
        <v>0</v>
      </c>
      <c r="M4" s="140">
        <v>0</v>
      </c>
      <c r="N4" s="140">
        <v>0</v>
      </c>
      <c r="O4" s="139">
        <v>0</v>
      </c>
      <c r="P4" s="139">
        <v>0</v>
      </c>
      <c r="Q4" s="139">
        <v>0</v>
      </c>
      <c r="R4" s="139">
        <v>0</v>
      </c>
      <c r="S4" s="139">
        <v>0</v>
      </c>
      <c r="T4" s="140"/>
      <c r="U4" s="140"/>
      <c r="V4" s="139"/>
      <c r="W4" s="139"/>
      <c r="X4" s="139"/>
      <c r="Y4" s="139"/>
      <c r="Z4" s="139"/>
      <c r="AA4" s="140"/>
      <c r="AB4" s="140"/>
      <c r="AC4" s="139"/>
      <c r="AD4" s="139"/>
      <c r="AE4" s="139"/>
      <c r="AF4" s="139"/>
      <c r="AG4" s="139"/>
      <c r="AH4" s="140"/>
      <c r="AI4" s="140"/>
      <c r="AJ4">
        <f t="shared" si="1"/>
        <v>56</v>
      </c>
    </row>
    <row r="5" spans="1:36" ht="17.5" customHeight="1">
      <c r="A5" s="132">
        <v>4</v>
      </c>
      <c r="B5" s="137" t="s">
        <v>12</v>
      </c>
      <c r="C5" s="138" t="s">
        <v>13</v>
      </c>
      <c r="D5" s="138" t="s">
        <v>7</v>
      </c>
      <c r="E5" s="141">
        <v>8</v>
      </c>
      <c r="F5" s="140">
        <v>8</v>
      </c>
      <c r="G5" s="140">
        <v>8</v>
      </c>
      <c r="H5" s="142">
        <v>8</v>
      </c>
      <c r="I5" s="142">
        <v>8</v>
      </c>
      <c r="J5" s="142">
        <v>8</v>
      </c>
      <c r="K5" s="142">
        <v>8</v>
      </c>
      <c r="L5" s="140">
        <v>0</v>
      </c>
      <c r="M5" s="140">
        <v>0</v>
      </c>
      <c r="N5" s="141">
        <v>0</v>
      </c>
      <c r="O5" s="141">
        <v>0</v>
      </c>
      <c r="P5" s="141">
        <v>0</v>
      </c>
      <c r="Q5" s="141">
        <v>0</v>
      </c>
      <c r="R5" s="140">
        <v>0</v>
      </c>
      <c r="S5" s="140">
        <v>0</v>
      </c>
      <c r="T5" s="142"/>
      <c r="U5" s="142"/>
      <c r="V5" s="142"/>
      <c r="W5" s="142"/>
      <c r="X5" s="140"/>
      <c r="Y5" s="140"/>
      <c r="Z5" s="141"/>
      <c r="AA5" s="141"/>
      <c r="AB5" s="141"/>
      <c r="AC5" s="141"/>
      <c r="AD5" s="140"/>
      <c r="AE5" s="140"/>
      <c r="AF5" s="142"/>
      <c r="AG5" s="142"/>
      <c r="AH5" s="142"/>
      <c r="AI5" s="142"/>
      <c r="AJ5">
        <f t="shared" si="1"/>
        <v>56</v>
      </c>
    </row>
    <row r="6" spans="1:36" ht="17.5" customHeight="1">
      <c r="A6" s="132">
        <v>5</v>
      </c>
      <c r="B6" s="137" t="s">
        <v>14</v>
      </c>
      <c r="C6" s="138" t="s">
        <v>15</v>
      </c>
      <c r="D6" s="138" t="s">
        <v>7</v>
      </c>
      <c r="E6" s="141">
        <v>8</v>
      </c>
      <c r="F6" s="140">
        <v>8</v>
      </c>
      <c r="G6" s="140">
        <v>8</v>
      </c>
      <c r="H6" s="141">
        <v>8</v>
      </c>
      <c r="I6" s="141">
        <v>8</v>
      </c>
      <c r="J6" s="140">
        <v>8</v>
      </c>
      <c r="K6" s="140">
        <v>8</v>
      </c>
      <c r="L6" s="142">
        <v>0</v>
      </c>
      <c r="M6" s="142">
        <v>0</v>
      </c>
      <c r="N6" s="142">
        <v>0</v>
      </c>
      <c r="O6" s="142">
        <v>0</v>
      </c>
      <c r="P6" s="140">
        <v>0</v>
      </c>
      <c r="Q6" s="140">
        <v>0</v>
      </c>
      <c r="R6" s="141">
        <v>0</v>
      </c>
      <c r="S6" s="141">
        <v>0</v>
      </c>
      <c r="T6" s="141"/>
      <c r="U6" s="141"/>
      <c r="V6" s="140"/>
      <c r="W6" s="140"/>
      <c r="X6" s="142"/>
      <c r="Y6" s="142"/>
      <c r="Z6" s="142"/>
      <c r="AA6" s="142"/>
      <c r="AB6" s="140"/>
      <c r="AC6" s="140"/>
      <c r="AD6" s="141"/>
      <c r="AE6" s="141"/>
      <c r="AF6" s="141"/>
      <c r="AG6" s="141"/>
      <c r="AH6" s="140"/>
      <c r="AI6" s="140"/>
      <c r="AJ6">
        <f t="shared" si="1"/>
        <v>56</v>
      </c>
    </row>
    <row r="7" spans="1:36" ht="17.5" customHeight="1">
      <c r="A7" s="132">
        <v>6</v>
      </c>
      <c r="B7" s="137" t="s">
        <v>16</v>
      </c>
      <c r="C7" s="138" t="s">
        <v>17</v>
      </c>
      <c r="D7" s="138" t="s">
        <v>7</v>
      </c>
      <c r="E7" s="141">
        <v>8</v>
      </c>
      <c r="F7" s="140">
        <v>8</v>
      </c>
      <c r="G7" s="140">
        <v>8</v>
      </c>
      <c r="H7" s="141">
        <v>8</v>
      </c>
      <c r="I7" s="141">
        <v>8</v>
      </c>
      <c r="J7" s="140">
        <v>8</v>
      </c>
      <c r="K7" s="140">
        <v>8</v>
      </c>
      <c r="L7" s="142">
        <v>0</v>
      </c>
      <c r="M7" s="142">
        <v>0</v>
      </c>
      <c r="N7" s="142">
        <v>0</v>
      </c>
      <c r="O7" s="142">
        <v>0</v>
      </c>
      <c r="P7" s="140">
        <v>0</v>
      </c>
      <c r="Q7" s="140">
        <v>0</v>
      </c>
      <c r="R7" s="141">
        <v>0</v>
      </c>
      <c r="S7" s="141">
        <v>0</v>
      </c>
      <c r="T7" s="141"/>
      <c r="U7" s="141"/>
      <c r="V7" s="140"/>
      <c r="W7" s="140"/>
      <c r="X7" s="142"/>
      <c r="Y7" s="142"/>
      <c r="Z7" s="142"/>
      <c r="AA7" s="142"/>
      <c r="AB7" s="140"/>
      <c r="AC7" s="140"/>
      <c r="AD7" s="141"/>
      <c r="AE7" s="141"/>
      <c r="AF7" s="141"/>
      <c r="AG7" s="141"/>
      <c r="AH7" s="140"/>
      <c r="AI7" s="140"/>
      <c r="AJ7">
        <f t="shared" si="1"/>
        <v>56</v>
      </c>
    </row>
    <row r="8" spans="1:36" ht="17.5" customHeight="1">
      <c r="A8" s="132">
        <v>7</v>
      </c>
      <c r="B8" s="137" t="s">
        <v>18</v>
      </c>
      <c r="C8" s="138" t="s">
        <v>19</v>
      </c>
      <c r="D8" s="138" t="s">
        <v>7</v>
      </c>
      <c r="E8" s="141">
        <v>8</v>
      </c>
      <c r="F8" s="140">
        <v>8</v>
      </c>
      <c r="G8" s="140">
        <v>8</v>
      </c>
      <c r="H8" s="141">
        <v>8</v>
      </c>
      <c r="I8" s="141">
        <v>8</v>
      </c>
      <c r="J8" s="140">
        <v>8</v>
      </c>
      <c r="K8" s="140">
        <v>8</v>
      </c>
      <c r="L8" s="142">
        <v>0</v>
      </c>
      <c r="M8" s="142">
        <v>0</v>
      </c>
      <c r="N8" s="142">
        <v>0</v>
      </c>
      <c r="O8" s="142">
        <v>0</v>
      </c>
      <c r="P8" s="140">
        <v>0</v>
      </c>
      <c r="Q8" s="140">
        <v>0</v>
      </c>
      <c r="R8" s="141">
        <v>0</v>
      </c>
      <c r="S8" s="141">
        <v>0</v>
      </c>
      <c r="T8" s="141"/>
      <c r="U8" s="141"/>
      <c r="V8" s="140"/>
      <c r="W8" s="140"/>
      <c r="X8" s="142"/>
      <c r="Y8" s="142"/>
      <c r="Z8" s="142"/>
      <c r="AA8" s="142"/>
      <c r="AB8" s="140"/>
      <c r="AC8" s="140"/>
      <c r="AD8" s="141"/>
      <c r="AE8" s="141"/>
      <c r="AF8" s="141"/>
      <c r="AG8" s="141"/>
      <c r="AH8" s="140"/>
      <c r="AI8" s="140"/>
      <c r="AJ8">
        <f t="shared" si="1"/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8"/>
  <sheetViews>
    <sheetView topLeftCell="G1" zoomScale="70" zoomScaleNormal="70" workbookViewId="0">
      <selection activeCell="AI1" sqref="AI1:AI8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2</v>
      </c>
      <c r="E2" s="140">
        <v>2</v>
      </c>
      <c r="F2" s="140">
        <v>2</v>
      </c>
      <c r="G2" s="139">
        <v>0</v>
      </c>
      <c r="H2" s="139">
        <v>0</v>
      </c>
      <c r="I2" s="139">
        <v>0</v>
      </c>
      <c r="J2" s="139">
        <v>0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6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0</v>
      </c>
      <c r="E3" s="140">
        <v>0</v>
      </c>
      <c r="F3" s="140">
        <v>0</v>
      </c>
      <c r="G3" s="142">
        <v>0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3</v>
      </c>
      <c r="E4" s="140">
        <v>0</v>
      </c>
      <c r="F4" s="140">
        <v>0</v>
      </c>
      <c r="G4" s="139">
        <v>0</v>
      </c>
      <c r="H4" s="139">
        <v>0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3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0</v>
      </c>
      <c r="F5" s="140">
        <v>0</v>
      </c>
      <c r="G5" s="142">
        <v>0</v>
      </c>
      <c r="H5" s="142">
        <v>1.5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1.5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0</v>
      </c>
      <c r="E6" s="140">
        <v>0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0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2</v>
      </c>
      <c r="E7" s="140">
        <v>0</v>
      </c>
      <c r="F7" s="140">
        <v>2</v>
      </c>
      <c r="G7" s="141">
        <v>0</v>
      </c>
      <c r="H7" s="141">
        <v>2</v>
      </c>
      <c r="I7" s="140">
        <v>0</v>
      </c>
      <c r="J7" s="140">
        <v>0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6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0</v>
      </c>
      <c r="F8" s="140">
        <v>0</v>
      </c>
      <c r="G8" s="141">
        <v>2.5</v>
      </c>
      <c r="H8" s="141">
        <v>2.5</v>
      </c>
      <c r="I8" s="140">
        <v>2.5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8"/>
  <sheetViews>
    <sheetView topLeftCell="G1" zoomScale="70" zoomScaleNormal="70" workbookViewId="0">
      <selection activeCell="AI1" sqref="AI1:AI8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0</v>
      </c>
      <c r="E2" s="140">
        <v>0</v>
      </c>
      <c r="F2" s="140">
        <v>0</v>
      </c>
      <c r="G2" s="139">
        <v>0</v>
      </c>
      <c r="H2" s="139">
        <v>1</v>
      </c>
      <c r="I2" s="139">
        <v>1</v>
      </c>
      <c r="J2" s="139">
        <v>1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3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0</v>
      </c>
      <c r="E3" s="140">
        <v>0</v>
      </c>
      <c r="F3" s="140">
        <v>0</v>
      </c>
      <c r="G3" s="142">
        <v>0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0</v>
      </c>
      <c r="E4" s="140">
        <v>0</v>
      </c>
      <c r="F4" s="140">
        <v>3</v>
      </c>
      <c r="G4" s="139">
        <v>0</v>
      </c>
      <c r="H4" s="139">
        <v>0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3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2</v>
      </c>
      <c r="F5" s="140">
        <v>2</v>
      </c>
      <c r="G5" s="142">
        <v>2</v>
      </c>
      <c r="H5" s="142">
        <v>0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6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0</v>
      </c>
      <c r="E6" s="140">
        <v>0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0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0</v>
      </c>
      <c r="E7" s="140">
        <v>0</v>
      </c>
      <c r="F7" s="140">
        <v>0</v>
      </c>
      <c r="G7" s="141">
        <v>0</v>
      </c>
      <c r="H7" s="141">
        <v>0</v>
      </c>
      <c r="I7" s="140">
        <v>0</v>
      </c>
      <c r="J7" s="140">
        <v>1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1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0</v>
      </c>
      <c r="F8" s="140">
        <v>0</v>
      </c>
      <c r="G8" s="141">
        <v>0</v>
      </c>
      <c r="H8" s="141">
        <v>0</v>
      </c>
      <c r="I8" s="140">
        <v>0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8"/>
  <sheetViews>
    <sheetView topLeftCell="G1" zoomScale="70" zoomScaleNormal="70" workbookViewId="0">
      <selection activeCell="AI1" sqref="AI1:AI8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0</v>
      </c>
      <c r="E2" s="140">
        <v>0</v>
      </c>
      <c r="F2" s="140">
        <v>0</v>
      </c>
      <c r="G2" s="139">
        <v>0</v>
      </c>
      <c r="H2" s="139">
        <v>0</v>
      </c>
      <c r="I2" s="139">
        <v>0</v>
      </c>
      <c r="J2" s="139">
        <v>0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0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2.5</v>
      </c>
      <c r="E3" s="140">
        <v>2.5</v>
      </c>
      <c r="F3" s="140">
        <v>2.5</v>
      </c>
      <c r="G3" s="142">
        <v>2.5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10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0</v>
      </c>
      <c r="E4" s="140">
        <v>0</v>
      </c>
      <c r="F4" s="140">
        <v>0</v>
      </c>
      <c r="G4" s="139">
        <v>0</v>
      </c>
      <c r="H4" s="139">
        <v>0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0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0</v>
      </c>
      <c r="F5" s="140">
        <v>0</v>
      </c>
      <c r="G5" s="142">
        <v>0</v>
      </c>
      <c r="H5" s="142">
        <v>0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0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0</v>
      </c>
      <c r="E6" s="140">
        <v>0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0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0</v>
      </c>
      <c r="E7" s="140">
        <v>0</v>
      </c>
      <c r="F7" s="140">
        <v>0</v>
      </c>
      <c r="G7" s="141">
        <v>0</v>
      </c>
      <c r="H7" s="141">
        <v>0</v>
      </c>
      <c r="I7" s="140">
        <v>0</v>
      </c>
      <c r="J7" s="140">
        <v>0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0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3</v>
      </c>
      <c r="F8" s="140">
        <v>0</v>
      </c>
      <c r="G8" s="141">
        <v>0</v>
      </c>
      <c r="H8" s="141">
        <v>0</v>
      </c>
      <c r="I8" s="140">
        <v>0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8"/>
  <sheetViews>
    <sheetView topLeftCell="G1" zoomScale="70" zoomScaleNormal="70" workbookViewId="0">
      <selection activeCell="AI1" sqref="AI1:AI8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0</v>
      </c>
      <c r="E2" s="140">
        <v>0</v>
      </c>
      <c r="F2" s="140">
        <v>0</v>
      </c>
      <c r="G2" s="139">
        <v>0</v>
      </c>
      <c r="H2" s="139">
        <v>0</v>
      </c>
      <c r="I2" s="139">
        <v>0</v>
      </c>
      <c r="J2" s="139">
        <v>0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0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0</v>
      </c>
      <c r="E3" s="140">
        <v>0</v>
      </c>
      <c r="F3" s="140">
        <v>0</v>
      </c>
      <c r="G3" s="142">
        <v>0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0</v>
      </c>
      <c r="E4" s="140">
        <v>0</v>
      </c>
      <c r="F4" s="140">
        <v>0</v>
      </c>
      <c r="G4" s="139">
        <v>0</v>
      </c>
      <c r="H4" s="139">
        <v>2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2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0</v>
      </c>
      <c r="F5" s="140">
        <v>0</v>
      </c>
      <c r="G5" s="142">
        <v>0</v>
      </c>
      <c r="H5" s="142">
        <v>0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0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3</v>
      </c>
      <c r="E6" s="140">
        <v>3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6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0</v>
      </c>
      <c r="E7" s="140">
        <v>0</v>
      </c>
      <c r="F7" s="140">
        <v>0</v>
      </c>
      <c r="G7" s="141">
        <v>0</v>
      </c>
      <c r="H7" s="141">
        <v>0</v>
      </c>
      <c r="I7" s="140">
        <v>0</v>
      </c>
      <c r="J7" s="140">
        <v>0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0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0</v>
      </c>
      <c r="F8" s="140">
        <v>0</v>
      </c>
      <c r="G8" s="141">
        <v>0</v>
      </c>
      <c r="H8" s="141">
        <v>0</v>
      </c>
      <c r="I8" s="140">
        <v>0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8"/>
  <sheetViews>
    <sheetView topLeftCell="H1" zoomScale="70" zoomScaleNormal="70" workbookViewId="0">
      <selection activeCell="AI1" sqref="AI1:AI8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0</v>
      </c>
      <c r="E2" s="140">
        <v>0</v>
      </c>
      <c r="F2" s="140">
        <v>0</v>
      </c>
      <c r="G2" s="139">
        <v>0</v>
      </c>
      <c r="H2" s="139">
        <v>0</v>
      </c>
      <c r="I2" s="139">
        <v>0</v>
      </c>
      <c r="J2" s="139">
        <v>0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0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0</v>
      </c>
      <c r="E3" s="140">
        <v>0</v>
      </c>
      <c r="F3" s="140">
        <v>0</v>
      </c>
      <c r="G3" s="142">
        <v>0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0</v>
      </c>
      <c r="E4" s="140">
        <v>0</v>
      </c>
      <c r="F4" s="140">
        <v>0</v>
      </c>
      <c r="G4" s="139">
        <v>0</v>
      </c>
      <c r="H4" s="139">
        <v>0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0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0</v>
      </c>
      <c r="F5" s="140">
        <v>0</v>
      </c>
      <c r="G5" s="142">
        <v>0</v>
      </c>
      <c r="H5" s="142">
        <v>0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0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0</v>
      </c>
      <c r="E6" s="140">
        <v>0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0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0</v>
      </c>
      <c r="E7" s="140">
        <v>0</v>
      </c>
      <c r="F7" s="140">
        <v>0</v>
      </c>
      <c r="G7" s="141">
        <v>0</v>
      </c>
      <c r="H7" s="141">
        <v>0</v>
      </c>
      <c r="I7" s="140">
        <v>0</v>
      </c>
      <c r="J7" s="140">
        <v>0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0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0</v>
      </c>
      <c r="F8" s="140">
        <v>0</v>
      </c>
      <c r="G8" s="141">
        <v>0</v>
      </c>
      <c r="H8" s="141">
        <v>0</v>
      </c>
      <c r="I8" s="140">
        <v>0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8"/>
  <sheetViews>
    <sheetView tabSelected="1" zoomScale="70" zoomScaleNormal="70" workbookViewId="0">
      <selection activeCell="N22" sqref="N22"/>
    </sheetView>
  </sheetViews>
  <sheetFormatPr baseColWidth="10" defaultColWidth="8.83203125" defaultRowHeight="14"/>
  <cols>
    <col min="2" max="2" width="16.83203125" style="144" bestFit="1" customWidth="1"/>
    <col min="3" max="3" width="28.83203125" style="144" bestFit="1" customWidth="1"/>
  </cols>
  <sheetData>
    <row r="1" spans="1:35" ht="19.75" customHeight="1">
      <c r="A1" s="133" t="s">
        <v>0</v>
      </c>
      <c r="B1" s="134" t="s">
        <v>1</v>
      </c>
      <c r="C1" s="135" t="s">
        <v>2</v>
      </c>
      <c r="D1" s="136">
        <v>46143</v>
      </c>
      <c r="E1" s="136">
        <f t="shared" ref="E1:AH1" si="0">D1+1</f>
        <v>46144</v>
      </c>
      <c r="F1" s="136">
        <f t="shared" si="0"/>
        <v>46145</v>
      </c>
      <c r="G1" s="136">
        <f t="shared" si="0"/>
        <v>46146</v>
      </c>
      <c r="H1" s="136">
        <f t="shared" si="0"/>
        <v>46147</v>
      </c>
      <c r="I1" s="136">
        <f t="shared" si="0"/>
        <v>46148</v>
      </c>
      <c r="J1" s="136">
        <f t="shared" si="0"/>
        <v>46149</v>
      </c>
      <c r="K1" s="136">
        <f t="shared" si="0"/>
        <v>46150</v>
      </c>
      <c r="L1" s="136">
        <f t="shared" si="0"/>
        <v>46151</v>
      </c>
      <c r="M1" s="136">
        <f t="shared" si="0"/>
        <v>46152</v>
      </c>
      <c r="N1" s="136">
        <f t="shared" si="0"/>
        <v>46153</v>
      </c>
      <c r="O1" s="136">
        <f t="shared" si="0"/>
        <v>46154</v>
      </c>
      <c r="P1" s="136">
        <f t="shared" si="0"/>
        <v>46155</v>
      </c>
      <c r="Q1" s="136">
        <f t="shared" si="0"/>
        <v>46156</v>
      </c>
      <c r="R1" s="136">
        <f t="shared" si="0"/>
        <v>46157</v>
      </c>
      <c r="S1" s="136">
        <f t="shared" si="0"/>
        <v>46158</v>
      </c>
      <c r="T1" s="136">
        <f t="shared" si="0"/>
        <v>46159</v>
      </c>
      <c r="U1" s="136">
        <f t="shared" si="0"/>
        <v>46160</v>
      </c>
      <c r="V1" s="136">
        <f t="shared" si="0"/>
        <v>46161</v>
      </c>
      <c r="W1" s="136">
        <f t="shared" si="0"/>
        <v>46162</v>
      </c>
      <c r="X1" s="136">
        <f t="shared" si="0"/>
        <v>46163</v>
      </c>
      <c r="Y1" s="136">
        <f t="shared" si="0"/>
        <v>46164</v>
      </c>
      <c r="Z1" s="136">
        <f t="shared" si="0"/>
        <v>46165</v>
      </c>
      <c r="AA1" s="136">
        <f t="shared" si="0"/>
        <v>46166</v>
      </c>
      <c r="AB1" s="136">
        <f t="shared" si="0"/>
        <v>46167</v>
      </c>
      <c r="AC1" s="136">
        <f t="shared" si="0"/>
        <v>46168</v>
      </c>
      <c r="AD1" s="136">
        <f t="shared" si="0"/>
        <v>46169</v>
      </c>
      <c r="AE1" s="136">
        <f t="shared" si="0"/>
        <v>46170</v>
      </c>
      <c r="AF1" s="136">
        <f t="shared" si="0"/>
        <v>46171</v>
      </c>
      <c r="AG1" s="136">
        <f t="shared" si="0"/>
        <v>46172</v>
      </c>
      <c r="AH1" s="136">
        <f t="shared" si="0"/>
        <v>46173</v>
      </c>
      <c r="AI1" s="143" t="s">
        <v>4</v>
      </c>
    </row>
    <row r="2" spans="1:35" ht="17.5" customHeight="1">
      <c r="A2" s="132">
        <f>_xlfn.AGGREGATE(3,3,$C2:C$4)</f>
        <v>3</v>
      </c>
      <c r="B2" s="137" t="s">
        <v>5</v>
      </c>
      <c r="C2" s="138" t="s">
        <v>6</v>
      </c>
      <c r="D2" s="139">
        <v>0</v>
      </c>
      <c r="E2" s="140">
        <v>0</v>
      </c>
      <c r="F2" s="140">
        <v>0</v>
      </c>
      <c r="G2" s="139">
        <v>0</v>
      </c>
      <c r="H2" s="139">
        <v>0</v>
      </c>
      <c r="I2" s="139">
        <v>0</v>
      </c>
      <c r="J2" s="139">
        <v>0</v>
      </c>
      <c r="K2" s="139">
        <v>0</v>
      </c>
      <c r="L2" s="140">
        <v>0</v>
      </c>
      <c r="M2" s="140">
        <v>0</v>
      </c>
      <c r="N2" s="139">
        <v>0</v>
      </c>
      <c r="O2" s="139">
        <v>0</v>
      </c>
      <c r="P2" s="139">
        <v>0</v>
      </c>
      <c r="Q2" s="139">
        <v>0</v>
      </c>
      <c r="R2" s="139">
        <v>0</v>
      </c>
      <c r="S2" s="140"/>
      <c r="T2" s="140"/>
      <c r="U2" s="139"/>
      <c r="V2" s="139"/>
      <c r="W2" s="139"/>
      <c r="X2" s="139"/>
      <c r="Y2" s="139"/>
      <c r="Z2" s="140"/>
      <c r="AA2" s="140"/>
      <c r="AB2" s="139"/>
      <c r="AC2" s="139"/>
      <c r="AD2" s="139"/>
      <c r="AE2" s="139"/>
      <c r="AF2" s="139"/>
      <c r="AG2" s="140"/>
      <c r="AH2" s="140"/>
      <c r="AI2">
        <f t="shared" ref="AI2:AI8" si="1">SUM(D2:AH2)</f>
        <v>0</v>
      </c>
    </row>
    <row r="3" spans="1:35" ht="17.5" customHeight="1">
      <c r="A3" s="132">
        <f>_xlfn.AGGREGATE(3,3,$C3:C$4)</f>
        <v>2</v>
      </c>
      <c r="B3" s="137" t="s">
        <v>8</v>
      </c>
      <c r="C3" s="138" t="s">
        <v>9</v>
      </c>
      <c r="D3" s="141">
        <v>0</v>
      </c>
      <c r="E3" s="140">
        <v>0</v>
      </c>
      <c r="F3" s="140">
        <v>0</v>
      </c>
      <c r="G3" s="142">
        <v>0</v>
      </c>
      <c r="H3" s="142">
        <v>0</v>
      </c>
      <c r="I3" s="142">
        <v>0</v>
      </c>
      <c r="J3" s="142">
        <v>0</v>
      </c>
      <c r="K3" s="140">
        <v>0</v>
      </c>
      <c r="L3" s="140">
        <v>0</v>
      </c>
      <c r="M3" s="141">
        <v>0</v>
      </c>
      <c r="N3" s="141">
        <v>0</v>
      </c>
      <c r="O3" s="141">
        <v>0</v>
      </c>
      <c r="P3" s="141">
        <v>0</v>
      </c>
      <c r="Q3" s="140">
        <v>0</v>
      </c>
      <c r="R3" s="140">
        <v>0</v>
      </c>
      <c r="S3" s="142"/>
      <c r="T3" s="142"/>
      <c r="U3" s="142"/>
      <c r="V3" s="142"/>
      <c r="W3" s="140"/>
      <c r="X3" s="140"/>
      <c r="Y3" s="141"/>
      <c r="Z3" s="141"/>
      <c r="AA3" s="141"/>
      <c r="AB3" s="141"/>
      <c r="AC3" s="140"/>
      <c r="AD3" s="140"/>
      <c r="AE3" s="142"/>
      <c r="AF3" s="142"/>
      <c r="AG3" s="142"/>
      <c r="AH3" s="142"/>
      <c r="AI3">
        <f t="shared" si="1"/>
        <v>0</v>
      </c>
    </row>
    <row r="4" spans="1:35" ht="17.5" customHeight="1">
      <c r="A4" s="132">
        <f>_xlfn.AGGREGATE(3,3,$C$4:C4)</f>
        <v>1</v>
      </c>
      <c r="B4" s="137" t="s">
        <v>10</v>
      </c>
      <c r="C4" s="138" t="s">
        <v>11</v>
      </c>
      <c r="D4" s="139">
        <v>0</v>
      </c>
      <c r="E4" s="140">
        <v>0</v>
      </c>
      <c r="F4" s="140">
        <v>0</v>
      </c>
      <c r="G4" s="139">
        <v>0</v>
      </c>
      <c r="H4" s="139">
        <v>0</v>
      </c>
      <c r="I4" s="139">
        <v>0</v>
      </c>
      <c r="J4" s="139">
        <v>0</v>
      </c>
      <c r="K4" s="139">
        <v>0</v>
      </c>
      <c r="L4" s="140">
        <v>0</v>
      </c>
      <c r="M4" s="140">
        <v>0</v>
      </c>
      <c r="N4" s="139">
        <v>0</v>
      </c>
      <c r="O4" s="139">
        <v>0</v>
      </c>
      <c r="P4" s="139">
        <v>0</v>
      </c>
      <c r="Q4" s="139">
        <v>0</v>
      </c>
      <c r="R4" s="139">
        <v>0</v>
      </c>
      <c r="S4" s="140"/>
      <c r="T4" s="140"/>
      <c r="U4" s="139"/>
      <c r="V4" s="139"/>
      <c r="W4" s="139"/>
      <c r="X4" s="139"/>
      <c r="Y4" s="139"/>
      <c r="Z4" s="140"/>
      <c r="AA4" s="140"/>
      <c r="AB4" s="139"/>
      <c r="AC4" s="139"/>
      <c r="AD4" s="139"/>
      <c r="AE4" s="139"/>
      <c r="AF4" s="139"/>
      <c r="AG4" s="140"/>
      <c r="AH4" s="140"/>
      <c r="AI4">
        <f t="shared" si="1"/>
        <v>0</v>
      </c>
    </row>
    <row r="5" spans="1:35" ht="17.5" customHeight="1">
      <c r="A5" s="132">
        <f>_xlfn.AGGREGATE(3,3,$C$4:C5)</f>
        <v>2</v>
      </c>
      <c r="B5" s="137" t="s">
        <v>12</v>
      </c>
      <c r="C5" s="138" t="s">
        <v>13</v>
      </c>
      <c r="D5" s="141">
        <v>0</v>
      </c>
      <c r="E5" s="140">
        <v>0</v>
      </c>
      <c r="F5" s="140">
        <v>0</v>
      </c>
      <c r="G5" s="142">
        <v>0</v>
      </c>
      <c r="H5" s="142">
        <v>0</v>
      </c>
      <c r="I5" s="142">
        <v>0</v>
      </c>
      <c r="J5" s="142">
        <v>0</v>
      </c>
      <c r="K5" s="140">
        <v>0</v>
      </c>
      <c r="L5" s="140">
        <v>0</v>
      </c>
      <c r="M5" s="141">
        <v>0</v>
      </c>
      <c r="N5" s="141">
        <v>0</v>
      </c>
      <c r="O5" s="141">
        <v>0</v>
      </c>
      <c r="P5" s="141">
        <v>0</v>
      </c>
      <c r="Q5" s="140">
        <v>0</v>
      </c>
      <c r="R5" s="140">
        <v>0</v>
      </c>
      <c r="S5" s="142"/>
      <c r="T5" s="142"/>
      <c r="U5" s="142"/>
      <c r="V5" s="142"/>
      <c r="W5" s="140"/>
      <c r="X5" s="140"/>
      <c r="Y5" s="141"/>
      <c r="Z5" s="141"/>
      <c r="AA5" s="141"/>
      <c r="AB5" s="141"/>
      <c r="AC5" s="140"/>
      <c r="AD5" s="140"/>
      <c r="AE5" s="142"/>
      <c r="AF5" s="142"/>
      <c r="AG5" s="142"/>
      <c r="AH5" s="142"/>
      <c r="AI5">
        <f t="shared" si="1"/>
        <v>0</v>
      </c>
    </row>
    <row r="6" spans="1:35" ht="17.5" customHeight="1">
      <c r="A6" s="132">
        <f>_xlfn.AGGREGATE(3,3,$C$4:C6)</f>
        <v>3</v>
      </c>
      <c r="B6" s="137" t="s">
        <v>14</v>
      </c>
      <c r="C6" s="138" t="s">
        <v>15</v>
      </c>
      <c r="D6" s="141">
        <v>0</v>
      </c>
      <c r="E6" s="140">
        <v>0</v>
      </c>
      <c r="F6" s="140">
        <v>0</v>
      </c>
      <c r="G6" s="141">
        <v>0</v>
      </c>
      <c r="H6" s="141">
        <v>0</v>
      </c>
      <c r="I6" s="140">
        <v>0</v>
      </c>
      <c r="J6" s="140">
        <v>0</v>
      </c>
      <c r="K6" s="142">
        <v>0</v>
      </c>
      <c r="L6" s="142">
        <v>0</v>
      </c>
      <c r="M6" s="142">
        <v>0</v>
      </c>
      <c r="N6" s="142">
        <v>0</v>
      </c>
      <c r="O6" s="140">
        <v>0</v>
      </c>
      <c r="P6" s="140">
        <v>0</v>
      </c>
      <c r="Q6" s="141">
        <v>0</v>
      </c>
      <c r="R6" s="141">
        <v>0</v>
      </c>
      <c r="S6" s="141"/>
      <c r="T6" s="141"/>
      <c r="U6" s="140"/>
      <c r="V6" s="140"/>
      <c r="W6" s="142"/>
      <c r="X6" s="142"/>
      <c r="Y6" s="142"/>
      <c r="Z6" s="142"/>
      <c r="AA6" s="140"/>
      <c r="AB6" s="140"/>
      <c r="AC6" s="141"/>
      <c r="AD6" s="141"/>
      <c r="AE6" s="141"/>
      <c r="AF6" s="141"/>
      <c r="AG6" s="140"/>
      <c r="AH6" s="140"/>
      <c r="AI6">
        <f t="shared" si="1"/>
        <v>0</v>
      </c>
    </row>
    <row r="7" spans="1:35" ht="17.5" customHeight="1">
      <c r="A7" s="132">
        <f>_xlfn.AGGREGATE(3,3,$C$4:C7)</f>
        <v>4</v>
      </c>
      <c r="B7" s="137" t="s">
        <v>16</v>
      </c>
      <c r="C7" s="138" t="s">
        <v>17</v>
      </c>
      <c r="D7" s="141">
        <v>0</v>
      </c>
      <c r="E7" s="140">
        <v>0</v>
      </c>
      <c r="F7" s="140">
        <v>0</v>
      </c>
      <c r="G7" s="141">
        <v>0</v>
      </c>
      <c r="H7" s="141">
        <v>0</v>
      </c>
      <c r="I7" s="140">
        <v>0</v>
      </c>
      <c r="J7" s="140">
        <v>0</v>
      </c>
      <c r="K7" s="142">
        <v>0</v>
      </c>
      <c r="L7" s="142">
        <v>0</v>
      </c>
      <c r="M7" s="142">
        <v>0</v>
      </c>
      <c r="N7" s="142">
        <v>0</v>
      </c>
      <c r="O7" s="140">
        <v>0</v>
      </c>
      <c r="P7" s="140">
        <v>0</v>
      </c>
      <c r="Q7" s="141">
        <v>0</v>
      </c>
      <c r="R7" s="141">
        <v>0</v>
      </c>
      <c r="S7" s="141"/>
      <c r="T7" s="141"/>
      <c r="U7" s="140"/>
      <c r="V7" s="140"/>
      <c r="W7" s="142"/>
      <c r="X7" s="142"/>
      <c r="Y7" s="142"/>
      <c r="Z7" s="142"/>
      <c r="AA7" s="140"/>
      <c r="AB7" s="140"/>
      <c r="AC7" s="141"/>
      <c r="AD7" s="141"/>
      <c r="AE7" s="141"/>
      <c r="AF7" s="141"/>
      <c r="AG7" s="140"/>
      <c r="AH7" s="140"/>
      <c r="AI7">
        <f t="shared" si="1"/>
        <v>0</v>
      </c>
    </row>
    <row r="8" spans="1:35" ht="17.5" customHeight="1">
      <c r="A8" s="132">
        <f>_xlfn.AGGREGATE(3,3,$C$4:C8)</f>
        <v>5</v>
      </c>
      <c r="B8" s="137" t="s">
        <v>18</v>
      </c>
      <c r="C8" s="138" t="s">
        <v>19</v>
      </c>
      <c r="D8" s="141">
        <v>0</v>
      </c>
      <c r="E8" s="140">
        <v>0</v>
      </c>
      <c r="F8" s="140">
        <v>0</v>
      </c>
      <c r="G8" s="141">
        <v>0</v>
      </c>
      <c r="H8" s="141">
        <v>0</v>
      </c>
      <c r="I8" s="140">
        <v>0</v>
      </c>
      <c r="J8" s="140">
        <v>0</v>
      </c>
      <c r="K8" s="142">
        <v>0</v>
      </c>
      <c r="L8" s="142">
        <v>0</v>
      </c>
      <c r="M8" s="142">
        <v>0</v>
      </c>
      <c r="N8" s="142">
        <v>0</v>
      </c>
      <c r="O8" s="140">
        <v>0</v>
      </c>
      <c r="P8" s="140">
        <v>0</v>
      </c>
      <c r="Q8" s="141">
        <v>0</v>
      </c>
      <c r="R8" s="141">
        <v>0</v>
      </c>
      <c r="S8" s="141"/>
      <c r="T8" s="141"/>
      <c r="U8" s="140"/>
      <c r="V8" s="140"/>
      <c r="W8" s="142"/>
      <c r="X8" s="142"/>
      <c r="Y8" s="142"/>
      <c r="Z8" s="142"/>
      <c r="AA8" s="140"/>
      <c r="AB8" s="140"/>
      <c r="AC8" s="141"/>
      <c r="AD8" s="141"/>
      <c r="AE8" s="141"/>
      <c r="AF8" s="141"/>
      <c r="AG8" s="140"/>
      <c r="AH8" s="140"/>
      <c r="AI8">
        <f t="shared" si="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3"/>
  <sheetViews>
    <sheetView zoomScale="70" zoomScaleNormal="70" workbookViewId="0">
      <selection activeCell="D103" sqref="D103"/>
    </sheetView>
  </sheetViews>
  <sheetFormatPr baseColWidth="10" defaultColWidth="7.83203125" defaultRowHeight="14"/>
  <cols>
    <col min="1" max="1" width="6.6640625" style="54" customWidth="1"/>
    <col min="2" max="2" width="13.1640625" style="46" customWidth="1"/>
    <col min="3" max="3" width="21.33203125" style="46" customWidth="1"/>
    <col min="4" max="4" width="17.1640625" style="54" customWidth="1"/>
    <col min="5" max="5" width="19.83203125" style="46" customWidth="1"/>
    <col min="6" max="6" width="15.83203125" style="55" customWidth="1"/>
    <col min="7" max="7" width="7.83203125" style="46" customWidth="1"/>
    <col min="8" max="16384" width="7.83203125" style="46"/>
  </cols>
  <sheetData>
    <row r="1" spans="1:6" ht="44.5" customHeight="1">
      <c r="A1" s="174" t="s">
        <v>139</v>
      </c>
      <c r="B1" s="150"/>
      <c r="C1" s="150"/>
      <c r="D1" s="150"/>
      <c r="E1" s="149"/>
      <c r="F1" s="45"/>
    </row>
    <row r="2" spans="1:6" s="49" customFormat="1" ht="15.5" customHeight="1">
      <c r="A2" s="47" t="s">
        <v>140</v>
      </c>
      <c r="B2" s="48" t="s">
        <v>141</v>
      </c>
      <c r="C2" s="48" t="s">
        <v>142</v>
      </c>
      <c r="D2" s="47" t="s">
        <v>143</v>
      </c>
      <c r="E2" s="48" t="s">
        <v>144</v>
      </c>
      <c r="F2" s="48" t="s">
        <v>145</v>
      </c>
    </row>
    <row r="3" spans="1:6" ht="22.5" customHeight="1">
      <c r="A3" s="50" t="s">
        <v>34</v>
      </c>
      <c r="B3" s="51" t="s">
        <v>35</v>
      </c>
      <c r="C3" s="51" t="s">
        <v>36</v>
      </c>
      <c r="D3" s="52" t="s">
        <v>146</v>
      </c>
      <c r="E3" s="51" t="s">
        <v>147</v>
      </c>
      <c r="F3" s="53" t="s">
        <v>37</v>
      </c>
    </row>
    <row r="4" spans="1:6" ht="22.5" customHeight="1">
      <c r="A4" s="50" t="s">
        <v>38</v>
      </c>
      <c r="B4" s="51" t="s">
        <v>39</v>
      </c>
      <c r="C4" s="51" t="s">
        <v>148</v>
      </c>
      <c r="D4" s="52" t="s">
        <v>149</v>
      </c>
      <c r="E4" s="51" t="s">
        <v>150</v>
      </c>
      <c r="F4" s="53" t="s">
        <v>37</v>
      </c>
    </row>
    <row r="5" spans="1:6" ht="22.5" customHeight="1">
      <c r="A5" s="50" t="s">
        <v>41</v>
      </c>
      <c r="B5" s="51" t="s">
        <v>42</v>
      </c>
      <c r="C5" s="51" t="s">
        <v>43</v>
      </c>
      <c r="D5" s="52" t="s">
        <v>151</v>
      </c>
      <c r="E5" s="51" t="s">
        <v>152</v>
      </c>
      <c r="F5" s="53" t="s">
        <v>37</v>
      </c>
    </row>
    <row r="6" spans="1:6" ht="22.5" customHeight="1">
      <c r="A6" s="50" t="s">
        <v>44</v>
      </c>
      <c r="B6" s="51" t="s">
        <v>45</v>
      </c>
      <c r="C6" s="51" t="s">
        <v>46</v>
      </c>
      <c r="D6" s="52" t="s">
        <v>153</v>
      </c>
      <c r="E6" s="51" t="s">
        <v>152</v>
      </c>
      <c r="F6" s="53" t="s">
        <v>37</v>
      </c>
    </row>
    <row r="7" spans="1:6" ht="22.5" customHeight="1">
      <c r="A7" s="50" t="s">
        <v>47</v>
      </c>
      <c r="B7" s="51" t="s">
        <v>48</v>
      </c>
      <c r="C7" s="51" t="s">
        <v>49</v>
      </c>
      <c r="D7" s="52" t="s">
        <v>154</v>
      </c>
      <c r="E7" s="51" t="s">
        <v>152</v>
      </c>
      <c r="F7" s="53" t="s">
        <v>37</v>
      </c>
    </row>
    <row r="8" spans="1:6" ht="22.5" customHeight="1">
      <c r="A8" s="50" t="s">
        <v>50</v>
      </c>
      <c r="B8" s="51" t="s">
        <v>54</v>
      </c>
      <c r="C8" s="51" t="s">
        <v>55</v>
      </c>
      <c r="D8" s="52" t="s">
        <v>155</v>
      </c>
      <c r="E8" s="51" t="s">
        <v>152</v>
      </c>
      <c r="F8" s="53" t="s">
        <v>37</v>
      </c>
    </row>
    <row r="9" spans="1:6" ht="22.5" customHeight="1">
      <c r="A9" s="50" t="s">
        <v>53</v>
      </c>
      <c r="B9" s="51" t="s">
        <v>84</v>
      </c>
      <c r="C9" s="51" t="s">
        <v>85</v>
      </c>
      <c r="D9" s="52" t="s">
        <v>156</v>
      </c>
      <c r="E9" s="51" t="s">
        <v>152</v>
      </c>
      <c r="F9" s="53" t="s">
        <v>37</v>
      </c>
    </row>
    <row r="10" spans="1:6" ht="22.5" customHeight="1">
      <c r="A10" s="50" t="s">
        <v>56</v>
      </c>
      <c r="B10" s="51" t="s">
        <v>75</v>
      </c>
      <c r="C10" s="51" t="s">
        <v>76</v>
      </c>
      <c r="D10" s="52" t="s">
        <v>157</v>
      </c>
      <c r="E10" s="51" t="s">
        <v>158</v>
      </c>
      <c r="F10" s="53" t="s">
        <v>37</v>
      </c>
    </row>
    <row r="11" spans="1:6" ht="22.5" customHeight="1">
      <c r="A11" s="50" t="s">
        <v>59</v>
      </c>
      <c r="B11" s="51" t="s">
        <v>69</v>
      </c>
      <c r="C11" s="51" t="s">
        <v>70</v>
      </c>
      <c r="D11" s="52" t="s">
        <v>159</v>
      </c>
      <c r="E11" s="51" t="s">
        <v>152</v>
      </c>
      <c r="F11" s="53" t="s">
        <v>37</v>
      </c>
    </row>
    <row r="12" spans="1:6" ht="22.5" customHeight="1">
      <c r="A12" s="50" t="s">
        <v>62</v>
      </c>
      <c r="B12" s="51" t="s">
        <v>72</v>
      </c>
      <c r="C12" s="51" t="s">
        <v>73</v>
      </c>
      <c r="D12" s="52" t="s">
        <v>160</v>
      </c>
      <c r="E12" s="51" t="s">
        <v>152</v>
      </c>
      <c r="F12" s="53" t="s">
        <v>37</v>
      </c>
    </row>
    <row r="13" spans="1:6" ht="22.5" customHeight="1">
      <c r="A13" s="50" t="s">
        <v>65</v>
      </c>
      <c r="B13" s="51" t="s">
        <v>57</v>
      </c>
      <c r="C13" s="51" t="s">
        <v>58</v>
      </c>
      <c r="D13" s="52" t="s">
        <v>161</v>
      </c>
      <c r="E13" s="51" t="s">
        <v>152</v>
      </c>
      <c r="F13" s="53" t="s">
        <v>37</v>
      </c>
    </row>
    <row r="14" spans="1:6" ht="22.5" customHeight="1">
      <c r="A14" s="50" t="s">
        <v>68</v>
      </c>
      <c r="B14" s="51" t="s">
        <v>60</v>
      </c>
      <c r="C14" s="51" t="s">
        <v>61</v>
      </c>
      <c r="D14" s="52" t="s">
        <v>162</v>
      </c>
      <c r="E14" s="51" t="s">
        <v>152</v>
      </c>
      <c r="F14" s="53" t="s">
        <v>37</v>
      </c>
    </row>
    <row r="15" spans="1:6" ht="22.5" customHeight="1">
      <c r="A15" s="50" t="s">
        <v>71</v>
      </c>
      <c r="B15" s="51" t="s">
        <v>63</v>
      </c>
      <c r="C15" s="51" t="s">
        <v>64</v>
      </c>
      <c r="D15" s="52" t="s">
        <v>163</v>
      </c>
      <c r="E15" s="51" t="s">
        <v>164</v>
      </c>
      <c r="F15" s="53" t="s">
        <v>37</v>
      </c>
    </row>
    <row r="16" spans="1:6" ht="22.5" customHeight="1">
      <c r="A16" s="50" t="s">
        <v>74</v>
      </c>
      <c r="B16" s="51" t="s">
        <v>66</v>
      </c>
      <c r="C16" s="51" t="s">
        <v>67</v>
      </c>
      <c r="D16" s="52" t="s">
        <v>165</v>
      </c>
      <c r="E16" s="51" t="s">
        <v>152</v>
      </c>
      <c r="F16" s="53" t="s">
        <v>37</v>
      </c>
    </row>
    <row r="17" spans="1:6" ht="22.5" customHeight="1">
      <c r="A17" s="50" t="s">
        <v>77</v>
      </c>
      <c r="B17" s="51" t="s">
        <v>51</v>
      </c>
      <c r="C17" s="51" t="s">
        <v>52</v>
      </c>
      <c r="D17" s="52" t="s">
        <v>166</v>
      </c>
      <c r="E17" s="51" t="s">
        <v>158</v>
      </c>
      <c r="F17" s="53" t="s">
        <v>37</v>
      </c>
    </row>
    <row r="18" spans="1:6" ht="22.5" customHeight="1">
      <c r="A18" s="50" t="s">
        <v>80</v>
      </c>
      <c r="B18" s="51" t="s">
        <v>78</v>
      </c>
      <c r="C18" s="51" t="s">
        <v>79</v>
      </c>
      <c r="D18" s="52" t="s">
        <v>167</v>
      </c>
      <c r="E18" s="51" t="s">
        <v>152</v>
      </c>
      <c r="F18" s="53" t="s">
        <v>37</v>
      </c>
    </row>
    <row r="19" spans="1:6" ht="22.5" customHeight="1">
      <c r="A19" s="50" t="s">
        <v>83</v>
      </c>
      <c r="B19" s="51" t="s">
        <v>81</v>
      </c>
      <c r="C19" s="51" t="s">
        <v>82</v>
      </c>
      <c r="D19" s="52" t="s">
        <v>168</v>
      </c>
      <c r="E19" s="51" t="s">
        <v>152</v>
      </c>
      <c r="F19" s="53" t="s">
        <v>37</v>
      </c>
    </row>
    <row r="20" spans="1:6" ht="22.5" customHeight="1">
      <c r="A20" s="50" t="s">
        <v>86</v>
      </c>
      <c r="B20" s="51" t="s">
        <v>90</v>
      </c>
      <c r="C20" s="51" t="s">
        <v>91</v>
      </c>
      <c r="D20" s="52" t="s">
        <v>169</v>
      </c>
      <c r="E20" s="51" t="s">
        <v>152</v>
      </c>
      <c r="F20" s="53" t="s">
        <v>37</v>
      </c>
    </row>
    <row r="21" spans="1:6" ht="22.5" customHeight="1">
      <c r="A21" s="50" t="s">
        <v>89</v>
      </c>
      <c r="B21" s="51" t="s">
        <v>93</v>
      </c>
      <c r="C21" s="51" t="s">
        <v>94</v>
      </c>
      <c r="D21" s="52" t="s">
        <v>170</v>
      </c>
      <c r="E21" s="51" t="s">
        <v>152</v>
      </c>
      <c r="F21" s="53" t="s">
        <v>37</v>
      </c>
    </row>
    <row r="22" spans="1:6" ht="22.5" customHeight="1">
      <c r="A22" s="50" t="s">
        <v>92</v>
      </c>
      <c r="B22" s="51" t="s">
        <v>87</v>
      </c>
      <c r="C22" s="51" t="s">
        <v>88</v>
      </c>
      <c r="D22" s="52" t="s">
        <v>171</v>
      </c>
      <c r="E22" s="51"/>
      <c r="F22" s="53" t="s">
        <v>37</v>
      </c>
    </row>
    <row r="23" spans="1:6" ht="24.5" customHeight="1">
      <c r="A23" s="50" t="s">
        <v>172</v>
      </c>
      <c r="B23" s="51" t="s">
        <v>100</v>
      </c>
      <c r="C23" s="51" t="s">
        <v>101</v>
      </c>
      <c r="D23" s="52" t="s">
        <v>173</v>
      </c>
      <c r="E23" s="51" t="s">
        <v>174</v>
      </c>
      <c r="F23" s="53" t="s">
        <v>37</v>
      </c>
    </row>
    <row r="24" spans="1:6" ht="24.5" customHeight="1">
      <c r="A24" s="50" t="s">
        <v>175</v>
      </c>
      <c r="B24" s="51" t="s">
        <v>102</v>
      </c>
      <c r="C24" s="51" t="s">
        <v>103</v>
      </c>
      <c r="D24" s="52" t="s">
        <v>176</v>
      </c>
      <c r="E24" s="51" t="s">
        <v>177</v>
      </c>
      <c r="F24" s="53" t="s">
        <v>37</v>
      </c>
    </row>
    <row r="25" spans="1:6" ht="24.5" customHeight="1">
      <c r="A25" s="50" t="s">
        <v>178</v>
      </c>
      <c r="B25" s="51" t="s">
        <v>104</v>
      </c>
      <c r="C25" s="51" t="s">
        <v>105</v>
      </c>
      <c r="D25" s="52" t="s">
        <v>179</v>
      </c>
      <c r="E25" s="51" t="s">
        <v>152</v>
      </c>
      <c r="F25" s="53" t="s">
        <v>37</v>
      </c>
    </row>
    <row r="26" spans="1:6" ht="24.5" customHeight="1">
      <c r="A26" s="50" t="s">
        <v>180</v>
      </c>
      <c r="B26" s="51" t="s">
        <v>106</v>
      </c>
      <c r="C26" s="51" t="s">
        <v>107</v>
      </c>
      <c r="D26" s="52" t="s">
        <v>181</v>
      </c>
      <c r="E26" s="51" t="s">
        <v>152</v>
      </c>
      <c r="F26" s="53" t="s">
        <v>37</v>
      </c>
    </row>
    <row r="27" spans="1:6" ht="24.5" customHeight="1">
      <c r="A27" s="50" t="s">
        <v>182</v>
      </c>
      <c r="B27" s="51" t="s">
        <v>108</v>
      </c>
      <c r="C27" s="51" t="s">
        <v>109</v>
      </c>
      <c r="D27" s="52" t="s">
        <v>183</v>
      </c>
      <c r="E27" s="51" t="s">
        <v>184</v>
      </c>
      <c r="F27" s="53" t="s">
        <v>37</v>
      </c>
    </row>
    <row r="28" spans="1:6" ht="24.5" customHeight="1">
      <c r="A28" s="50" t="s">
        <v>185</v>
      </c>
      <c r="B28" s="51" t="s">
        <v>110</v>
      </c>
      <c r="C28" s="51" t="s">
        <v>111</v>
      </c>
      <c r="D28" s="52" t="s">
        <v>186</v>
      </c>
      <c r="E28" s="51" t="s">
        <v>152</v>
      </c>
      <c r="F28" s="53" t="s">
        <v>37</v>
      </c>
    </row>
    <row r="29" spans="1:6" ht="24.5" customHeight="1">
      <c r="A29" s="50" t="s">
        <v>187</v>
      </c>
      <c r="B29" s="51" t="s">
        <v>112</v>
      </c>
      <c r="C29" s="51" t="s">
        <v>113</v>
      </c>
      <c r="D29" s="52" t="s">
        <v>188</v>
      </c>
      <c r="E29" s="51" t="s">
        <v>158</v>
      </c>
      <c r="F29" s="53" t="s">
        <v>37</v>
      </c>
    </row>
    <row r="30" spans="1:6" ht="24.5" customHeight="1">
      <c r="A30" s="50" t="s">
        <v>189</v>
      </c>
      <c r="B30" s="51" t="s">
        <v>114</v>
      </c>
      <c r="C30" s="51" t="s">
        <v>115</v>
      </c>
      <c r="D30" s="52" t="s">
        <v>190</v>
      </c>
      <c r="E30" s="51" t="s">
        <v>177</v>
      </c>
      <c r="F30" s="53" t="s">
        <v>37</v>
      </c>
    </row>
    <row r="31" spans="1:6" ht="24.5" customHeight="1">
      <c r="A31" s="50" t="s">
        <v>191</v>
      </c>
      <c r="B31" s="51" t="s">
        <v>116</v>
      </c>
      <c r="C31" s="51" t="s">
        <v>82</v>
      </c>
      <c r="D31" s="52" t="s">
        <v>192</v>
      </c>
      <c r="E31" s="51" t="s">
        <v>174</v>
      </c>
      <c r="F31" s="53" t="s">
        <v>37</v>
      </c>
    </row>
    <row r="32" spans="1:6" ht="24.5" customHeight="1">
      <c r="A32" s="50" t="s">
        <v>193</v>
      </c>
      <c r="B32" s="51" t="s">
        <v>117</v>
      </c>
      <c r="C32" s="51" t="s">
        <v>118</v>
      </c>
      <c r="D32" s="52" t="s">
        <v>194</v>
      </c>
      <c r="E32" s="51" t="s">
        <v>152</v>
      </c>
      <c r="F32" s="53" t="s">
        <v>37</v>
      </c>
    </row>
    <row r="33" spans="1:6" ht="24.5" customHeight="1">
      <c r="A33" s="50" t="s">
        <v>195</v>
      </c>
      <c r="B33" s="51" t="s">
        <v>119</v>
      </c>
      <c r="C33" s="51" t="s">
        <v>120</v>
      </c>
      <c r="D33" s="52" t="s">
        <v>196</v>
      </c>
      <c r="E33" s="51" t="s">
        <v>152</v>
      </c>
      <c r="F33" s="53" t="s">
        <v>37</v>
      </c>
    </row>
    <row r="34" spans="1:6" ht="24.5" customHeight="1">
      <c r="A34" s="50" t="s">
        <v>197</v>
      </c>
      <c r="B34" s="51" t="s">
        <v>121</v>
      </c>
      <c r="C34" s="51" t="s">
        <v>122</v>
      </c>
      <c r="D34" s="52" t="s">
        <v>198</v>
      </c>
      <c r="E34" s="51" t="s">
        <v>152</v>
      </c>
      <c r="F34" s="53" t="s">
        <v>37</v>
      </c>
    </row>
    <row r="35" spans="1:6" ht="24.5" customHeight="1">
      <c r="A35" s="50" t="s">
        <v>199</v>
      </c>
      <c r="B35" s="51" t="s">
        <v>123</v>
      </c>
      <c r="C35" s="51" t="s">
        <v>124</v>
      </c>
      <c r="D35" s="52" t="s">
        <v>200</v>
      </c>
      <c r="E35" s="51" t="s">
        <v>152</v>
      </c>
      <c r="F35" s="53" t="s">
        <v>37</v>
      </c>
    </row>
    <row r="36" spans="1:6" ht="24.5" customHeight="1">
      <c r="A36" s="50" t="s">
        <v>201</v>
      </c>
      <c r="B36" s="51" t="s">
        <v>125</v>
      </c>
      <c r="C36" s="51" t="s">
        <v>126</v>
      </c>
      <c r="D36" s="52" t="s">
        <v>202</v>
      </c>
      <c r="E36" s="51" t="s">
        <v>152</v>
      </c>
      <c r="F36" s="53" t="s">
        <v>37</v>
      </c>
    </row>
    <row r="37" spans="1:6" ht="24.5" customHeight="1">
      <c r="A37" s="50" t="s">
        <v>203</v>
      </c>
      <c r="B37" s="51" t="s">
        <v>127</v>
      </c>
      <c r="C37" s="51" t="s">
        <v>128</v>
      </c>
      <c r="D37" s="52" t="s">
        <v>204</v>
      </c>
      <c r="E37" s="51" t="s">
        <v>158</v>
      </c>
      <c r="F37" s="53" t="s">
        <v>37</v>
      </c>
    </row>
    <row r="38" spans="1:6" ht="24.5" customHeight="1">
      <c r="A38" s="50" t="s">
        <v>205</v>
      </c>
      <c r="B38" s="51" t="s">
        <v>129</v>
      </c>
      <c r="C38" s="51" t="s">
        <v>130</v>
      </c>
      <c r="D38" s="52" t="s">
        <v>206</v>
      </c>
      <c r="E38" s="51" t="s">
        <v>207</v>
      </c>
      <c r="F38" s="53" t="s">
        <v>37</v>
      </c>
    </row>
    <row r="39" spans="1:6" ht="24.5" customHeight="1">
      <c r="A39" s="50" t="s">
        <v>208</v>
      </c>
      <c r="B39" s="51" t="s">
        <v>131</v>
      </c>
      <c r="C39" s="51" t="s">
        <v>132</v>
      </c>
      <c r="D39" s="52" t="s">
        <v>209</v>
      </c>
      <c r="E39" s="51" t="s">
        <v>184</v>
      </c>
      <c r="F39" s="53" t="s">
        <v>37</v>
      </c>
    </row>
    <row r="40" spans="1:6" ht="24.5" customHeight="1">
      <c r="A40" s="50" t="s">
        <v>210</v>
      </c>
      <c r="B40" s="51" t="s">
        <v>133</v>
      </c>
      <c r="C40" s="51" t="s">
        <v>134</v>
      </c>
      <c r="D40" s="52" t="s">
        <v>211</v>
      </c>
      <c r="E40" s="51" t="s">
        <v>212</v>
      </c>
      <c r="F40" s="53" t="s">
        <v>37</v>
      </c>
    </row>
    <row r="41" spans="1:6" ht="24.5" customHeight="1">
      <c r="A41" s="50" t="s">
        <v>213</v>
      </c>
      <c r="B41" s="51" t="s">
        <v>135</v>
      </c>
      <c r="C41" s="51" t="s">
        <v>136</v>
      </c>
      <c r="D41" s="52" t="s">
        <v>214</v>
      </c>
      <c r="E41" s="51" t="s">
        <v>152</v>
      </c>
      <c r="F41" s="53" t="s">
        <v>37</v>
      </c>
    </row>
    <row r="42" spans="1:6" ht="24.5" customHeight="1">
      <c r="A42" s="50" t="s">
        <v>215</v>
      </c>
      <c r="B42" s="51" t="s">
        <v>137</v>
      </c>
      <c r="C42" s="51" t="s">
        <v>138</v>
      </c>
      <c r="D42" s="52" t="s">
        <v>216</v>
      </c>
      <c r="E42" s="51" t="s">
        <v>217</v>
      </c>
      <c r="F42" s="53" t="s">
        <v>37</v>
      </c>
    </row>
    <row r="43" spans="1:6" ht="24.5" customHeight="1">
      <c r="A43" s="52"/>
      <c r="B43" s="51"/>
      <c r="C43" s="51"/>
      <c r="D43" s="52"/>
      <c r="E43" s="51"/>
      <c r="F43" s="45"/>
    </row>
  </sheetData>
  <autoFilter ref="A2:F42" xr:uid="{00000000-0009-0000-0000-000009000000}"/>
  <mergeCells count="1">
    <mergeCell ref="A1:E1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1"/>
  <sheetViews>
    <sheetView zoomScaleNormal="100" workbookViewId="0">
      <selection activeCell="F7" sqref="F7"/>
    </sheetView>
  </sheetViews>
  <sheetFormatPr baseColWidth="10" defaultColWidth="8.83203125" defaultRowHeight="14"/>
  <cols>
    <col min="1" max="1" width="5" style="144" customWidth="1"/>
    <col min="2" max="2" width="29" style="144" customWidth="1"/>
    <col min="3" max="3" width="23.1640625" style="144" customWidth="1"/>
    <col min="4" max="4" width="22.33203125" style="144" customWidth="1"/>
    <col min="5" max="5" width="11.33203125" style="144" customWidth="1"/>
    <col min="6" max="6" width="11.6640625" style="144" customWidth="1"/>
  </cols>
  <sheetData>
    <row r="1" spans="1:4" s="1" customFormat="1" ht="27" customHeight="1"/>
    <row r="2" spans="1:4" s="1" customFormat="1" ht="15" customHeight="1">
      <c r="A2" s="2" t="s">
        <v>218</v>
      </c>
    </row>
    <row r="3" spans="1:4" s="1" customFormat="1" ht="12" customHeight="1">
      <c r="A3" s="9" t="s">
        <v>21</v>
      </c>
    </row>
    <row r="4" spans="1:4" s="1" customFormat="1" ht="7.5" customHeight="1"/>
    <row r="5" spans="1:4" s="1" customFormat="1" ht="24.75" customHeight="1">
      <c r="A5" s="175" t="s">
        <v>219</v>
      </c>
      <c r="B5" s="176"/>
      <c r="C5" s="176"/>
      <c r="D5" s="176"/>
    </row>
    <row r="6" spans="1:4" s="1" customFormat="1" ht="20.5" customHeight="1">
      <c r="A6" s="3"/>
      <c r="B6" s="3"/>
      <c r="C6" s="3"/>
      <c r="D6" s="3"/>
    </row>
    <row r="7" spans="1:4" ht="33" customHeight="1">
      <c r="B7" s="5" t="s">
        <v>220</v>
      </c>
      <c r="C7" s="5" t="s">
        <v>221</v>
      </c>
      <c r="D7" s="5" t="s">
        <v>222</v>
      </c>
    </row>
    <row r="8" spans="1:4" ht="22.5" customHeight="1">
      <c r="B8" s="6" t="s">
        <v>223</v>
      </c>
      <c r="C8" s="10">
        <v>44604</v>
      </c>
      <c r="D8" s="7">
        <v>163000</v>
      </c>
    </row>
    <row r="9" spans="1:4" ht="22.5" customHeight="1">
      <c r="B9" s="6" t="s">
        <v>224</v>
      </c>
      <c r="C9" s="10">
        <v>44666</v>
      </c>
      <c r="D9" s="7">
        <v>270000</v>
      </c>
    </row>
    <row r="10" spans="1:4" ht="22.5" customHeight="1">
      <c r="B10" s="6" t="s">
        <v>225</v>
      </c>
      <c r="C10" s="10">
        <v>44666</v>
      </c>
      <c r="D10" s="7">
        <v>270000</v>
      </c>
    </row>
    <row r="11" spans="1:4" ht="30.75" customHeight="1">
      <c r="B11" s="8" t="s">
        <v>95</v>
      </c>
      <c r="C11" s="4"/>
      <c r="D11" s="4">
        <f>SUM(D8:D10)</f>
        <v>703000</v>
      </c>
    </row>
  </sheetData>
  <mergeCells count="1">
    <mergeCell ref="A5:D5"/>
  </mergeCells>
  <pageMargins left="0.76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Có tay nghề</vt:lpstr>
      <vt:lpstr>Không có tay nghề</vt:lpstr>
      <vt:lpstr>BCC-HC</vt:lpstr>
      <vt:lpstr>BCC-OT150</vt:lpstr>
      <vt:lpstr>BCC-OT30</vt:lpstr>
      <vt:lpstr>BCC-OT200</vt:lpstr>
      <vt:lpstr>BCC-OT270</vt:lpstr>
      <vt:lpstr>BCC-OT300</vt:lpstr>
      <vt:lpstr>BCC-OT390</vt:lpstr>
      <vt:lpstr>STK</vt:lpstr>
      <vt:lpstr>Hỗ trợ khác</vt:lpstr>
      <vt:lpstr>'Có tay nghề'!Print_Area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Thoa</dc:creator>
  <cp:lastModifiedBy>Frank Nguyen</cp:lastModifiedBy>
  <cp:lastPrinted>2024-11-04T03:53:48Z</cp:lastPrinted>
  <dcterms:created xsi:type="dcterms:W3CDTF">2019-01-05T09:11:00Z</dcterms:created>
  <dcterms:modified xsi:type="dcterms:W3CDTF">2026-06-12T12:27:46Z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1033-11.2.0.9070</vt:lpwstr>
  </property>
  <property fmtid="{D5CDD505-2E9C-101B-9397-08002B2CF9AE}" pid="3" name="KSOReadingLayout">
    <vt:bool>false</vt:bool>
  </property>
</Properties>
</file>