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ƯỜNG NGUYỄN\DỰ ÁN EVA\BẢNG CHẤM CÔNG EVA\BCC 2026\BẢNG CHẤM CÔNG T08.2026\"/>
    </mc:Choice>
  </mc:AlternateContent>
  <xr:revisionPtr revIDLastSave="0" documentId="13_ncr:1_{8213C65F-FA07-4346-8AE3-B339BF4A1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C" sheetId="1" r:id="rId1"/>
    <sheet name="STK" sheetId="4" r:id="rId2"/>
  </sheets>
  <externalReferences>
    <externalReference r:id="rId3"/>
    <externalReference r:id="rId4"/>
  </externalReferences>
  <definedNames>
    <definedName name="_xlnm._FilterDatabase" localSheetId="0" hidden="1">BCC!$A$10:$EM$133</definedName>
    <definedName name="_xlnm._FilterDatabase" localSheetId="1" hidden="1">STK!$A$3:$F$45</definedName>
    <definedName name="_xlnm.Print_Area" localSheetId="0">BCC!$A$1:$DH$133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60" i="1" l="1"/>
  <c r="AR59" i="1"/>
  <c r="AQ59" i="1"/>
  <c r="AP59" i="1"/>
  <c r="AO59" i="1"/>
  <c r="AN59" i="1"/>
  <c r="AM59" i="1"/>
  <c r="AL59" i="1"/>
  <c r="AK59" i="1"/>
  <c r="AR58" i="1"/>
  <c r="AQ58" i="1"/>
  <c r="AP58" i="1"/>
  <c r="AO58" i="1"/>
  <c r="AN58" i="1"/>
  <c r="AM58" i="1"/>
  <c r="AL58" i="1"/>
  <c r="AK58" i="1"/>
  <c r="AR57" i="1"/>
  <c r="AQ57" i="1"/>
  <c r="AP57" i="1"/>
  <c r="AO57" i="1"/>
  <c r="AN57" i="1"/>
  <c r="AM57" i="1"/>
  <c r="AL57" i="1"/>
  <c r="AK57" i="1"/>
  <c r="AR56" i="1"/>
  <c r="AQ56" i="1"/>
  <c r="AP56" i="1"/>
  <c r="AO56" i="1"/>
  <c r="AN56" i="1"/>
  <c r="AM56" i="1"/>
  <c r="AL56" i="1"/>
  <c r="AK56" i="1"/>
  <c r="AR55" i="1"/>
  <c r="AQ55" i="1"/>
  <c r="AP55" i="1"/>
  <c r="AO55" i="1"/>
  <c r="AN55" i="1"/>
  <c r="AM55" i="1"/>
  <c r="AL55" i="1"/>
  <c r="AK55" i="1"/>
  <c r="AR54" i="1"/>
  <c r="AQ54" i="1"/>
  <c r="AP54" i="1"/>
  <c r="AO54" i="1"/>
  <c r="AN54" i="1"/>
  <c r="AM54" i="1"/>
  <c r="AL54" i="1"/>
  <c r="AK54" i="1"/>
  <c r="AR53" i="1"/>
  <c r="AQ53" i="1"/>
  <c r="AP53" i="1"/>
  <c r="AO53" i="1"/>
  <c r="AN53" i="1"/>
  <c r="AM53" i="1"/>
  <c r="AL53" i="1"/>
  <c r="AK53" i="1"/>
  <c r="AR52" i="1"/>
  <c r="AQ52" i="1"/>
  <c r="AP52" i="1"/>
  <c r="AO52" i="1"/>
  <c r="AN52" i="1"/>
  <c r="AM52" i="1"/>
  <c r="AL52" i="1"/>
  <c r="AK52" i="1"/>
  <c r="AR51" i="1"/>
  <c r="AQ51" i="1"/>
  <c r="AP51" i="1"/>
  <c r="AO51" i="1"/>
  <c r="AN51" i="1"/>
  <c r="AM51" i="1"/>
  <c r="AL51" i="1"/>
  <c r="AK51" i="1"/>
  <c r="AR50" i="1"/>
  <c r="AQ50" i="1"/>
  <c r="AP50" i="1"/>
  <c r="AO50" i="1"/>
  <c r="AN50" i="1"/>
  <c r="AM50" i="1"/>
  <c r="AL50" i="1"/>
  <c r="AK50" i="1"/>
  <c r="AR49" i="1"/>
  <c r="AQ49" i="1"/>
  <c r="AP49" i="1"/>
  <c r="AO49" i="1"/>
  <c r="AN49" i="1"/>
  <c r="AM49" i="1"/>
  <c r="AL49" i="1"/>
  <c r="AK49" i="1"/>
  <c r="AR48" i="1"/>
  <c r="AQ48" i="1"/>
  <c r="AP48" i="1"/>
  <c r="AO48" i="1"/>
  <c r="AN48" i="1"/>
  <c r="AM48" i="1"/>
  <c r="AL48" i="1"/>
  <c r="AK48" i="1"/>
  <c r="AR47" i="1"/>
  <c r="AQ47" i="1"/>
  <c r="AP47" i="1"/>
  <c r="AO47" i="1"/>
  <c r="AN47" i="1"/>
  <c r="AM47" i="1"/>
  <c r="AL47" i="1"/>
  <c r="AK47" i="1"/>
  <c r="AR46" i="1"/>
  <c r="AQ46" i="1"/>
  <c r="AP46" i="1"/>
  <c r="AO46" i="1"/>
  <c r="AN46" i="1"/>
  <c r="AM46" i="1"/>
  <c r="AL46" i="1"/>
  <c r="AK46" i="1"/>
  <c r="AR45" i="1"/>
  <c r="AQ45" i="1"/>
  <c r="AP45" i="1"/>
  <c r="AO45" i="1"/>
  <c r="AN45" i="1"/>
  <c r="AM45" i="1"/>
  <c r="AL45" i="1"/>
  <c r="AK45" i="1"/>
  <c r="AR44" i="1"/>
  <c r="AQ44" i="1"/>
  <c r="AP44" i="1"/>
  <c r="AO44" i="1"/>
  <c r="AN44" i="1"/>
  <c r="AM44" i="1"/>
  <c r="AL44" i="1"/>
  <c r="AK44" i="1"/>
  <c r="AR43" i="1"/>
  <c r="AQ43" i="1"/>
  <c r="AP43" i="1"/>
  <c r="AO43" i="1"/>
  <c r="AN43" i="1"/>
  <c r="AM43" i="1"/>
  <c r="AL43" i="1"/>
  <c r="AK43" i="1"/>
  <c r="AR42" i="1"/>
  <c r="AQ42" i="1"/>
  <c r="AP42" i="1"/>
  <c r="AO42" i="1"/>
  <c r="AN42" i="1"/>
  <c r="AM42" i="1"/>
  <c r="AL42" i="1"/>
  <c r="AK42" i="1"/>
  <c r="AR41" i="1"/>
  <c r="AQ41" i="1"/>
  <c r="AP41" i="1"/>
  <c r="AO41" i="1"/>
  <c r="AN41" i="1"/>
  <c r="AM41" i="1"/>
  <c r="AL41" i="1"/>
  <c r="AK41" i="1"/>
  <c r="AR40" i="1"/>
  <c r="AQ40" i="1"/>
  <c r="AP40" i="1"/>
  <c r="AO40" i="1"/>
  <c r="AN40" i="1"/>
  <c r="AM40" i="1"/>
  <c r="AL40" i="1"/>
  <c r="AK40" i="1"/>
  <c r="AR39" i="1"/>
  <c r="AQ39" i="1"/>
  <c r="AP39" i="1"/>
  <c r="AO39" i="1"/>
  <c r="AN39" i="1"/>
  <c r="AM39" i="1"/>
  <c r="AL39" i="1"/>
  <c r="AK39" i="1"/>
  <c r="AR38" i="1"/>
  <c r="AQ38" i="1"/>
  <c r="AP38" i="1"/>
  <c r="AO38" i="1"/>
  <c r="AN38" i="1"/>
  <c r="AM38" i="1"/>
  <c r="AL38" i="1"/>
  <c r="AK38" i="1"/>
  <c r="AR37" i="1"/>
  <c r="AQ37" i="1"/>
  <c r="AP37" i="1"/>
  <c r="AO37" i="1"/>
  <c r="AN37" i="1"/>
  <c r="AM37" i="1"/>
  <c r="AL37" i="1"/>
  <c r="AK37" i="1"/>
  <c r="AR36" i="1"/>
  <c r="AQ36" i="1"/>
  <c r="AP36" i="1"/>
  <c r="AO36" i="1"/>
  <c r="AN36" i="1"/>
  <c r="AM36" i="1"/>
  <c r="AL36" i="1"/>
  <c r="AK36" i="1"/>
  <c r="AR35" i="1"/>
  <c r="AQ35" i="1"/>
  <c r="AP35" i="1"/>
  <c r="AO35" i="1"/>
  <c r="AN35" i="1"/>
  <c r="AM35" i="1"/>
  <c r="AL35" i="1"/>
  <c r="AK35" i="1"/>
  <c r="AR34" i="1"/>
  <c r="AQ34" i="1"/>
  <c r="AP34" i="1"/>
  <c r="AO34" i="1"/>
  <c r="AN34" i="1"/>
  <c r="AM34" i="1"/>
  <c r="AL34" i="1"/>
  <c r="AK34" i="1"/>
  <c r="AR33" i="1"/>
  <c r="AQ33" i="1"/>
  <c r="AP33" i="1"/>
  <c r="AO33" i="1"/>
  <c r="AN33" i="1"/>
  <c r="AM33" i="1"/>
  <c r="AL33" i="1"/>
  <c r="AK33" i="1"/>
  <c r="AR32" i="1"/>
  <c r="AQ32" i="1"/>
  <c r="AP32" i="1"/>
  <c r="AO32" i="1"/>
  <c r="AN32" i="1"/>
  <c r="AM32" i="1"/>
  <c r="AL32" i="1"/>
  <c r="AK32" i="1"/>
  <c r="AR31" i="1"/>
  <c r="AQ31" i="1"/>
  <c r="AP31" i="1"/>
  <c r="AO31" i="1"/>
  <c r="AN31" i="1"/>
  <c r="AM31" i="1"/>
  <c r="AM60" i="1" s="1"/>
  <c r="AL31" i="1"/>
  <c r="AK31" i="1"/>
  <c r="AT30" i="1"/>
  <c r="AR30" i="1"/>
  <c r="AQ30" i="1"/>
  <c r="AP30" i="1"/>
  <c r="AO30" i="1"/>
  <c r="AN30" i="1"/>
  <c r="AN60" i="1" s="1"/>
  <c r="AM30" i="1"/>
  <c r="AL30" i="1"/>
  <c r="AK30" i="1"/>
  <c r="AT29" i="1"/>
  <c r="AR29" i="1"/>
  <c r="AQ29" i="1"/>
  <c r="AP29" i="1"/>
  <c r="AO29" i="1"/>
  <c r="AN29" i="1"/>
  <c r="AM29" i="1"/>
  <c r="AL29" i="1"/>
  <c r="AK29" i="1"/>
  <c r="AT28" i="1"/>
  <c r="AR28" i="1"/>
  <c r="AQ28" i="1"/>
  <c r="AP28" i="1"/>
  <c r="AO28" i="1"/>
  <c r="AN28" i="1"/>
  <c r="AM28" i="1"/>
  <c r="AL28" i="1"/>
  <c r="AK28" i="1"/>
  <c r="AT27" i="1"/>
  <c r="AR27" i="1"/>
  <c r="AQ27" i="1"/>
  <c r="AP27" i="1"/>
  <c r="AO27" i="1"/>
  <c r="AN27" i="1"/>
  <c r="AM27" i="1"/>
  <c r="AL27" i="1"/>
  <c r="AK27" i="1"/>
  <c r="AR26" i="1"/>
  <c r="AQ26" i="1"/>
  <c r="AP26" i="1"/>
  <c r="AO26" i="1"/>
  <c r="AN26" i="1"/>
  <c r="AM26" i="1"/>
  <c r="AL26" i="1"/>
  <c r="AK26" i="1"/>
  <c r="AR25" i="1"/>
  <c r="AQ25" i="1"/>
  <c r="AP25" i="1"/>
  <c r="AO25" i="1"/>
  <c r="AN25" i="1"/>
  <c r="AM25" i="1"/>
  <c r="AL25" i="1"/>
  <c r="AK25" i="1"/>
  <c r="AR24" i="1"/>
  <c r="AQ24" i="1"/>
  <c r="AP24" i="1"/>
  <c r="AO24" i="1"/>
  <c r="AN24" i="1"/>
  <c r="AM24" i="1"/>
  <c r="AL24" i="1"/>
  <c r="AK24" i="1"/>
  <c r="AR23" i="1"/>
  <c r="AQ23" i="1"/>
  <c r="AP23" i="1"/>
  <c r="AO23" i="1"/>
  <c r="AN23" i="1"/>
  <c r="AM23" i="1"/>
  <c r="AL23" i="1"/>
  <c r="AK23" i="1"/>
  <c r="AR22" i="1"/>
  <c r="AQ22" i="1"/>
  <c r="AP22" i="1"/>
  <c r="AO22" i="1"/>
  <c r="AN22" i="1"/>
  <c r="AM22" i="1"/>
  <c r="AL22" i="1"/>
  <c r="AK22" i="1"/>
  <c r="AR21" i="1"/>
  <c r="AQ21" i="1"/>
  <c r="AP21" i="1"/>
  <c r="AO21" i="1"/>
  <c r="AN21" i="1"/>
  <c r="AM21" i="1"/>
  <c r="AL21" i="1"/>
  <c r="AK21" i="1"/>
  <c r="AR20" i="1"/>
  <c r="AQ20" i="1"/>
  <c r="AP20" i="1"/>
  <c r="AO20" i="1"/>
  <c r="AN20" i="1"/>
  <c r="AM20" i="1"/>
  <c r="AL20" i="1"/>
  <c r="AK20" i="1"/>
  <c r="AR19" i="1"/>
  <c r="AQ19" i="1"/>
  <c r="AP19" i="1"/>
  <c r="AO19" i="1"/>
  <c r="AN19" i="1"/>
  <c r="AM19" i="1"/>
  <c r="AL19" i="1"/>
  <c r="AK19" i="1"/>
  <c r="AR18" i="1"/>
  <c r="AQ18" i="1"/>
  <c r="AP18" i="1"/>
  <c r="AO18" i="1"/>
  <c r="AN18" i="1"/>
  <c r="AM18" i="1"/>
  <c r="AL18" i="1"/>
  <c r="AK18" i="1"/>
  <c r="AR17" i="1"/>
  <c r="AQ17" i="1"/>
  <c r="AP17" i="1"/>
  <c r="AO17" i="1"/>
  <c r="AN17" i="1"/>
  <c r="AM17" i="1"/>
  <c r="AL17" i="1"/>
  <c r="AK17" i="1"/>
  <c r="AR16" i="1"/>
  <c r="AQ16" i="1"/>
  <c r="AP16" i="1"/>
  <c r="AO16" i="1"/>
  <c r="AN16" i="1"/>
  <c r="AM16" i="1"/>
  <c r="AL16" i="1"/>
  <c r="AK16" i="1"/>
  <c r="AR15" i="1"/>
  <c r="AQ15" i="1"/>
  <c r="AP15" i="1"/>
  <c r="AO15" i="1"/>
  <c r="AN15" i="1"/>
  <c r="AM15" i="1"/>
  <c r="AL15" i="1"/>
  <c r="AK15" i="1"/>
  <c r="AR14" i="1"/>
  <c r="AQ14" i="1"/>
  <c r="AP14" i="1"/>
  <c r="AO14" i="1"/>
  <c r="AN14" i="1"/>
  <c r="AM14" i="1"/>
  <c r="AL14" i="1"/>
  <c r="AK14" i="1"/>
  <c r="AR13" i="1"/>
  <c r="AQ13" i="1"/>
  <c r="AP13" i="1"/>
  <c r="AO13" i="1"/>
  <c r="AN13" i="1"/>
  <c r="AM13" i="1"/>
  <c r="AL13" i="1"/>
  <c r="AK13" i="1"/>
  <c r="AR12" i="1"/>
  <c r="AQ12" i="1"/>
  <c r="AP12" i="1"/>
  <c r="AO12" i="1"/>
  <c r="AN12" i="1"/>
  <c r="AM12" i="1"/>
  <c r="AL12" i="1"/>
  <c r="AK12" i="1"/>
  <c r="AR11" i="1"/>
  <c r="AR60" i="1" s="1"/>
  <c r="AQ11" i="1"/>
  <c r="AQ60" i="1" s="1"/>
  <c r="AP11" i="1"/>
  <c r="AP60" i="1" s="1"/>
  <c r="AO11" i="1"/>
  <c r="AO60" i="1" s="1"/>
  <c r="AN11" i="1"/>
  <c r="AM11" i="1"/>
  <c r="AL11" i="1"/>
  <c r="AL60" i="1" s="1"/>
  <c r="AK11" i="1"/>
  <c r="AK60" i="1" s="1"/>
  <c r="AT60" i="1" l="1"/>
  <c r="G10" i="4"/>
  <c r="G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29" authorId="0" shapeId="0" xr:uid="{4EA1DE9B-A57F-4636-AFB2-D3A15F95490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Sheet1 ghi tên là "Tòng Văn Diễm" (Sheet2: "Tống Văn Diễm") - ghép theo tên gần đúng, cần xác nhận lại.</t>
        </r>
      </text>
    </comment>
    <comment ref="C42" authorId="0" shapeId="0" xr:uid="{A6C6CF21-411F-48EC-A2B1-8F04DA488F40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Sheet1 có 2 người tên "Lò Thị Nhung": LV001371 (đã gán dòng 40) và LV001487. Gán LV001487 cho dòng này - cần xác nhạn lại.</t>
        </r>
      </text>
    </comment>
    <comment ref="C52" authorId="0" shapeId="0" xr:uid="{05D4EB79-B33F-480A-8455-B39F6B939163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Sheet1 ghi tên là "Thào A Giao" (Sheet2: "Thào A Dao") - ghép theo tên gần đúng, cần xác nhạn lại.</t>
        </r>
      </text>
    </comment>
  </commentList>
</comments>
</file>

<file path=xl/sharedStrings.xml><?xml version="1.0" encoding="utf-8"?>
<sst xmlns="http://schemas.openxmlformats.org/spreadsheetml/2006/main" count="464" uniqueCount="272">
  <si>
    <t>MST: 0201307104</t>
  </si>
  <si>
    <t>Tổng cộng</t>
  </si>
  <si>
    <t>Công ty Cổ phần Quốc tế Thương mại và Dịch vụ Việt Pháp</t>
  </si>
  <si>
    <t>Địa chỉ: Số 12 Lô 18D Lê Hồng Phong, P.Đằng Lâm, Q.Hải An, Hải Phòng</t>
  </si>
  <si>
    <t>STT</t>
  </si>
  <si>
    <t>Mã nhân viên</t>
  </si>
  <si>
    <t>Họ và tên</t>
  </si>
  <si>
    <t>Tổng hợp</t>
  </si>
  <si>
    <t>Tên</t>
  </si>
  <si>
    <t>ID</t>
  </si>
  <si>
    <t>Tên Ngân hàng</t>
  </si>
  <si>
    <t>Stk</t>
  </si>
  <si>
    <t>OT Đ</t>
  </si>
  <si>
    <t>CB Đ</t>
  </si>
  <si>
    <t>CB N</t>
  </si>
  <si>
    <t>OT N</t>
  </si>
  <si>
    <t>CN N</t>
  </si>
  <si>
    <t>CN Đ</t>
  </si>
  <si>
    <t>OT CN Đ</t>
  </si>
  <si>
    <t>OT CN N</t>
  </si>
  <si>
    <t>Bộ phận</t>
  </si>
  <si>
    <t>Tăng ca 2 - 2,5</t>
  </si>
  <si>
    <t>Tăng ca 3 - 4</t>
  </si>
  <si>
    <t>Tiền ăn tăng ca</t>
  </si>
  <si>
    <t>DANH SÁCH STK NHÂN VIÊN DỰ ÁN</t>
  </si>
  <si>
    <t>Ghi chú</t>
  </si>
  <si>
    <t>Lắp ráp</t>
  </si>
  <si>
    <t>MB</t>
  </si>
  <si>
    <t xml:space="preserve">CCCD </t>
  </si>
  <si>
    <t>Nguyễn Sỹ Hùng</t>
  </si>
  <si>
    <t>027202000029</t>
  </si>
  <si>
    <t>Ngày vào</t>
  </si>
  <si>
    <t>Ngày nghỉ</t>
  </si>
  <si>
    <t>296608866</t>
  </si>
  <si>
    <t>031094015626</t>
  </si>
  <si>
    <t>Phạm Văn Khương</t>
  </si>
  <si>
    <t>Vietinbank</t>
  </si>
  <si>
    <t>Nhựa</t>
  </si>
  <si>
    <t>Lò Thị Hoạch</t>
  </si>
  <si>
    <t>014309004488</t>
  </si>
  <si>
    <t>VCB</t>
  </si>
  <si>
    <t>Hồ Sơ</t>
  </si>
  <si>
    <t>101882769481</t>
  </si>
  <si>
    <t>0356755184</t>
  </si>
  <si>
    <t>Đinh Thị Tuyến</t>
  </si>
  <si>
    <t>Trần Thị Ngọc Thành</t>
  </si>
  <si>
    <t>031176000320</t>
  </si>
  <si>
    <t>038304026938</t>
  </si>
  <si>
    <t>0368324193</t>
  </si>
  <si>
    <t>020054152</t>
  </si>
  <si>
    <t>VIB</t>
  </si>
  <si>
    <t>040201023553</t>
  </si>
  <si>
    <t>Kha Văn Định</t>
  </si>
  <si>
    <t>Sacombank</t>
  </si>
  <si>
    <t>BIDV</t>
  </si>
  <si>
    <t>1031455927</t>
  </si>
  <si>
    <t>LV001109</t>
  </si>
  <si>
    <t>TV000191</t>
  </si>
  <si>
    <t>TV000604</t>
  </si>
  <si>
    <t>LV000094</t>
  </si>
  <si>
    <t>LV000384</t>
  </si>
  <si>
    <t>LV000774</t>
  </si>
  <si>
    <t>01</t>
  </si>
  <si>
    <t>06</t>
  </si>
  <si>
    <t>02</t>
  </si>
  <si>
    <t>03</t>
  </si>
  <si>
    <t>04</t>
  </si>
  <si>
    <t>05</t>
  </si>
  <si>
    <t>08</t>
  </si>
  <si>
    <t>09</t>
  </si>
  <si>
    <t>10</t>
  </si>
  <si>
    <t>13</t>
  </si>
  <si>
    <t>16</t>
  </si>
  <si>
    <t>20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</si>
  <si>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</si>
  <si>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</si>
  <si>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</si>
  <si>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</si>
  <si>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</si>
  <si>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</si>
  <si>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</si>
  <si>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</si>
  <si>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</si>
  <si>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</si>
  <si>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</si>
  <si>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</si>
  <si>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</si>
  <si>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39</t>
  </si>
  <si>
    <t>40</t>
  </si>
  <si>
    <t>41</t>
  </si>
  <si>
    <t>Kho</t>
  </si>
  <si>
    <t>Đóng gói</t>
  </si>
  <si>
    <t xml:space="preserve">Lắp ráp </t>
  </si>
  <si>
    <t>07</t>
  </si>
  <si>
    <t>37</t>
  </si>
  <si>
    <t>011206005799</t>
  </si>
  <si>
    <t>Lò Văn Châu</t>
  </si>
  <si>
    <t>040191005847</t>
  </si>
  <si>
    <t>011308007990</t>
  </si>
  <si>
    <t>Lò Thị Hồng Nhung</t>
  </si>
  <si>
    <t>011189006733</t>
  </si>
  <si>
    <t>Tòng Thị Hướng</t>
  </si>
  <si>
    <t>LV001253</t>
  </si>
  <si>
    <t>LV001263</t>
  </si>
  <si>
    <t>Kha Thị Xu Đa</t>
  </si>
  <si>
    <t>LV001270</t>
  </si>
  <si>
    <t>LV001274</t>
  </si>
  <si>
    <t>0978553273</t>
  </si>
  <si>
    <t>SDT</t>
  </si>
  <si>
    <t>0343247604</t>
  </si>
  <si>
    <t>011081001104</t>
  </si>
  <si>
    <t>Lù Văn Tuân</t>
  </si>
  <si>
    <t>031306002218</t>
  </si>
  <si>
    <t>Vũ Thị Phượng</t>
  </si>
  <si>
    <t>031202001235</t>
  </si>
  <si>
    <t>Tạ Minh Tuyến</t>
  </si>
  <si>
    <t>LV001293</t>
  </si>
  <si>
    <t>LV001290</t>
  </si>
  <si>
    <t>LV001289</t>
  </si>
  <si>
    <t>LV001318</t>
  </si>
  <si>
    <t>031097009890</t>
  </si>
  <si>
    <t>Đào Trọng Khải</t>
  </si>
  <si>
    <t>LV001310</t>
  </si>
  <si>
    <t>031206015688</t>
  </si>
  <si>
    <t>Phạm Văn Sang</t>
  </si>
  <si>
    <t>LV001309</t>
  </si>
  <si>
    <t>031206004634</t>
  </si>
  <si>
    <t>Trần Đức Ngọc</t>
  </si>
  <si>
    <t>11815112345</t>
  </si>
  <si>
    <t>0342805967</t>
  </si>
  <si>
    <t>0904344309</t>
  </si>
  <si>
    <t>0813759845</t>
  </si>
  <si>
    <t>0394336110</t>
  </si>
  <si>
    <t>86688628082006</t>
  </si>
  <si>
    <t>0344218668</t>
  </si>
  <si>
    <t>0869616259</t>
  </si>
  <si>
    <t>0964363717</t>
  </si>
  <si>
    <t>0374562768</t>
  </si>
  <si>
    <t>060620062904</t>
  </si>
  <si>
    <t>0866849245</t>
  </si>
  <si>
    <t>011307004804</t>
  </si>
  <si>
    <t>Lò Thị Lệ Quyên</t>
  </si>
  <si>
    <t>011308004264</t>
  </si>
  <si>
    <t>Lò Thị Nhung</t>
  </si>
  <si>
    <t>011087004837</t>
  </si>
  <si>
    <t>011207002826</t>
  </si>
  <si>
    <t>Vì Văn Huy</t>
  </si>
  <si>
    <t>0327859815</t>
  </si>
  <si>
    <t>0397768983</t>
  </si>
  <si>
    <t>0345732710</t>
  </si>
  <si>
    <t>0373179660</t>
  </si>
  <si>
    <t>Kỳ chấm công:</t>
  </si>
  <si>
    <t>LV001377</t>
  </si>
  <si>
    <t>LV001371</t>
  </si>
  <si>
    <t>LV001372</t>
  </si>
  <si>
    <t>LV001375</t>
  </si>
  <si>
    <t>0359565463</t>
  </si>
  <si>
    <t>0359566396</t>
  </si>
  <si>
    <t>11</t>
  </si>
  <si>
    <t>12</t>
  </si>
  <si>
    <t>14</t>
  </si>
  <si>
    <t>15</t>
  </si>
  <si>
    <t>17</t>
  </si>
  <si>
    <t>18</t>
  </si>
  <si>
    <t>19</t>
  </si>
  <si>
    <t>21</t>
  </si>
  <si>
    <t>22</t>
  </si>
  <si>
    <t>26</t>
  </si>
  <si>
    <t>33</t>
  </si>
  <si>
    <t>Tòng Văn Diễm</t>
  </si>
  <si>
    <t>017090005827</t>
  </si>
  <si>
    <t>Bùi Văn Phú</t>
  </si>
  <si>
    <t>038185018586</t>
  </si>
  <si>
    <t>Nguyễn Thị Thu</t>
  </si>
  <si>
    <t>011308002759</t>
  </si>
  <si>
    <t>Lò Thị Bịch Ngọc</t>
  </si>
  <si>
    <t>011207000440</t>
  </si>
  <si>
    <t>Lường Văn Vũ</t>
  </si>
  <si>
    <t>031087014123</t>
  </si>
  <si>
    <t>Vũ Đình Dư</t>
  </si>
  <si>
    <t>17/098/2026</t>
  </si>
  <si>
    <t>0816416566</t>
  </si>
  <si>
    <t>0868112476</t>
  </si>
  <si>
    <t>0382168097</t>
  </si>
  <si>
    <t>0346068761</t>
  </si>
  <si>
    <t>0904048242</t>
  </si>
  <si>
    <t>8834268308</t>
  </si>
  <si>
    <t>02001011948903</t>
  </si>
  <si>
    <t>MSB</t>
  </si>
  <si>
    <t>12070854367541</t>
  </si>
  <si>
    <t>0031000224015</t>
  </si>
  <si>
    <t>LV001434</t>
  </si>
  <si>
    <t>LV001433</t>
  </si>
  <si>
    <t>LV001435</t>
  </si>
  <si>
    <t>LV001437</t>
  </si>
  <si>
    <t>LV001436</t>
  </si>
  <si>
    <t>T7</t>
  </si>
  <si>
    <t>CN</t>
  </si>
  <si>
    <t>T2</t>
  </si>
  <si>
    <t>T3</t>
  </si>
  <si>
    <t>T4</t>
  </si>
  <si>
    <t>T5</t>
  </si>
  <si>
    <t>T6</t>
  </si>
  <si>
    <t>011308003755</t>
  </si>
  <si>
    <t>011207000441</t>
  </si>
  <si>
    <t>Lò Văn Niệm</t>
  </si>
  <si>
    <t>011307008208</t>
  </si>
  <si>
    <t>Tòng Thị Thảo</t>
  </si>
  <si>
    <t>022095012864</t>
  </si>
  <si>
    <t>Vũ Văn Nhạ</t>
  </si>
  <si>
    <t>040200002926</t>
  </si>
  <si>
    <t>Kha Văn Tâm</t>
  </si>
  <si>
    <t>011307003959</t>
  </si>
  <si>
    <t>Lò Thị Hiến</t>
  </si>
  <si>
    <t>011206010368</t>
  </si>
  <si>
    <t>Lò Văn Kiên</t>
  </si>
  <si>
    <t>011205002144</t>
  </si>
  <si>
    <t>Lò Văn Ninh</t>
  </si>
  <si>
    <t>040306007129</t>
  </si>
  <si>
    <t>Lương Thị Phương</t>
  </si>
  <si>
    <t>025205014430</t>
  </si>
  <si>
    <t>Nguyễn Ngọc Bảo</t>
  </si>
  <si>
    <t>012204007555</t>
  </si>
  <si>
    <t>Thào A Dao</t>
  </si>
  <si>
    <t>011208005163</t>
  </si>
  <si>
    <t>Lò Văn Quyền</t>
  </si>
  <si>
    <t>011208007289</t>
  </si>
  <si>
    <t>Lù Văn Quyến</t>
  </si>
  <si>
    <t>002307002861</t>
  </si>
  <si>
    <t>Nông Thị Thương</t>
  </si>
  <si>
    <t>011304005619</t>
  </si>
  <si>
    <t>Sùng Thị Nắng</t>
  </si>
  <si>
    <t>030204002198</t>
  </si>
  <si>
    <t>Trần Quang Việt</t>
  </si>
  <si>
    <t>011204010984</t>
  </si>
  <si>
    <t>Vàng A Phùa</t>
  </si>
  <si>
    <t>LV001475</t>
  </si>
  <si>
    <t>LV001474</t>
  </si>
  <si>
    <t>LV001473</t>
  </si>
  <si>
    <t>LV001476</t>
  </si>
  <si>
    <t>LV001464</t>
  </si>
  <si>
    <t>LV001478</t>
  </si>
  <si>
    <t>LV001487</t>
  </si>
  <si>
    <t>LV001488</t>
  </si>
  <si>
    <t>LV001491</t>
  </si>
  <si>
    <t>LV001489</t>
  </si>
  <si>
    <t>LV001509</t>
  </si>
  <si>
    <t>LV001508</t>
  </si>
  <si>
    <t>LV001504</t>
  </si>
  <si>
    <t>LV001505</t>
  </si>
  <si>
    <t>LV001506</t>
  </si>
  <si>
    <t>LV001507</t>
  </si>
  <si>
    <t>42</t>
  </si>
  <si>
    <t>LV001503</t>
  </si>
  <si>
    <t>0374762938</t>
  </si>
  <si>
    <t>0373590746</t>
  </si>
  <si>
    <t>101884990971</t>
  </si>
  <si>
    <t>VietinBank</t>
  </si>
  <si>
    <t>0868376492</t>
  </si>
  <si>
    <t>234567899393</t>
  </si>
  <si>
    <t>Techcombank</t>
  </si>
  <si>
    <t>19076141428011</t>
  </si>
  <si>
    <t>1057804450</t>
  </si>
  <si>
    <t>12703092004</t>
  </si>
  <si>
    <t>0815352416</t>
  </si>
  <si>
    <t>0372813073</t>
  </si>
  <si>
    <t>100884733740</t>
  </si>
  <si>
    <t>1048492484</t>
  </si>
  <si>
    <t>0363336040</t>
  </si>
  <si>
    <t>1065476095</t>
  </si>
  <si>
    <t>8888867942703</t>
  </si>
  <si>
    <t>Agribank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</si>
</sst>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-* #,##0.00\ _₫_-;\-* #,##0.00\ _₫_-;_-* &quot;-&quot;??\ _₫_-;_-@_-"/>
    <numFmt numFmtId="165" formatCode="[$-F800]dddd\,\ mmmm\ dd\,\ yyyy"/>
    <numFmt numFmtId="166" formatCode="_-* #,##0.0_-;\-* #,##0.0_-;_-* &quot;-&quot;??_-;_-@_-"/>
    <numFmt numFmtId="167" formatCode="dd"/>
    <numFmt numFmtId="168" formatCode="&quot;T&quot;General"/>
    <numFmt numFmtId="169" formatCode="_-* #,##0_-;\-* #,##0_-;_-* &quot;-&quot;??_-;_-@_-"/>
    <numFmt numFmtId="170" formatCode="[$-1010000]d/m/yyyy;@"/>
    <numFmt numFmtId="171" formatCode="0.0;\-0.0;;@"/>
    <numFmt numFmtId="172" formatCode="#,##0;\-#,##0;;@"/>
    <numFmt numFmtId="173" formatCode="mm/yyyy"/>
  </numFmts>
  <fonts count="26">
    <font>
      <sz val="11"/>
      <color rgb="FF000000"/>
      <name val="Arial"/>
      <charset val="134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charset val="129"/>
    </font>
    <font>
      <sz val="10"/>
      <name val="Arial"/>
      <family val="2"/>
    </font>
    <font>
      <sz val="8"/>
      <name val="Arial"/>
      <family val="2"/>
      <charset val="163"/>
    </font>
    <font>
      <sz val="11"/>
      <color rgb="FF000000"/>
      <name val="Arial"/>
      <family val="2"/>
      <charset val="163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.VnTime"/>
      <family val="2"/>
    </font>
    <font>
      <sz val="12"/>
      <color theme="1"/>
      <name val="Times New Roman"/>
      <family val="2"/>
    </font>
    <font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新細明體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165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0" fontId="4" fillId="0" borderId="0"/>
    <xf numFmtId="0" fontId="3" fillId="0" borderId="0"/>
    <xf numFmtId="43" fontId="6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170" fontId="16" fillId="0" borderId="0">
      <alignment vertical="center"/>
    </xf>
    <xf numFmtId="41" fontId="20" fillId="0" borderId="0" applyFont="0" applyFill="0" applyBorder="0" applyAlignment="0" applyProtection="0"/>
  </cellStyleXfs>
  <cellXfs count="135">
    <xf numFmtId="0" fontId="0" fillId="0" borderId="0" xfId="0" applyAlignment="1">
      <alignment vertical="center"/>
    </xf>
    <xf numFmtId="0" fontId="15" fillId="2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169" fontId="8" fillId="2" borderId="1" xfId="8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15" fillId="2" borderId="0" xfId="0" applyNumberFormat="1" applyFont="1" applyFill="1"/>
    <xf numFmtId="0" fontId="8" fillId="3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7" fillId="2" borderId="1" xfId="0" quotePrefix="1" applyFont="1" applyFill="1" applyBorder="1"/>
    <xf numFmtId="0" fontId="7" fillId="2" borderId="1" xfId="0" applyFont="1" applyFill="1" applyBorder="1"/>
    <xf numFmtId="49" fontId="7" fillId="2" borderId="0" xfId="0" applyNumberFormat="1" applyFont="1" applyFill="1" applyAlignment="1">
      <alignment horizontal="center"/>
    </xf>
    <xf numFmtId="49" fontId="7" fillId="2" borderId="1" xfId="0" quotePrefix="1" applyNumberFormat="1" applyFont="1" applyFill="1" applyBorder="1"/>
    <xf numFmtId="0" fontId="14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49" fontId="14" fillId="7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166" fontId="7" fillId="8" borderId="1" xfId="8" applyNumberFormat="1" applyFont="1" applyFill="1" applyBorder="1" applyAlignment="1">
      <alignment horizontal="center" wrapText="1"/>
    </xf>
    <xf numFmtId="166" fontId="7" fillId="4" borderId="1" xfId="8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166" fontId="8" fillId="2" borderId="1" xfId="8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2" borderId="0" xfId="0" applyFont="1" applyFill="1"/>
    <xf numFmtId="0" fontId="14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14" fontId="15" fillId="2" borderId="0" xfId="0" applyNumberFormat="1" applyFont="1" applyFill="1" applyAlignment="1">
      <alignment vertical="center"/>
    </xf>
    <xf numFmtId="14" fontId="7" fillId="2" borderId="0" xfId="0" applyNumberFormat="1" applyFont="1" applyFill="1" applyAlignment="1">
      <alignment vertical="center"/>
    </xf>
    <xf numFmtId="14" fontId="7" fillId="2" borderId="0" xfId="0" applyNumberFormat="1" applyFont="1" applyFill="1" applyAlignment="1">
      <alignment horizontal="center" vertical="center"/>
    </xf>
    <xf numFmtId="14" fontId="18" fillId="2" borderId="0" xfId="0" applyNumberFormat="1" applyFont="1" applyFill="1" applyAlignment="1">
      <alignment horizontal="center" vertical="center"/>
    </xf>
    <xf numFmtId="14" fontId="7" fillId="2" borderId="1" xfId="0" applyNumberFormat="1" applyFont="1" applyFill="1" applyBorder="1"/>
    <xf numFmtId="14" fontId="18" fillId="2" borderId="0" xfId="0" applyNumberFormat="1" applyFont="1" applyFill="1" applyAlignment="1">
      <alignment vertical="center"/>
    </xf>
    <xf numFmtId="0" fontId="15" fillId="0" borderId="1" xfId="0" quotePrefix="1" applyFont="1" applyBorder="1" applyAlignment="1">
      <alignment vertical="center"/>
    </xf>
    <xf numFmtId="49" fontId="8" fillId="7" borderId="1" xfId="0" applyNumberFormat="1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9" fillId="2" borderId="1" xfId="0" applyFont="1" applyFill="1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41" fontId="9" fillId="6" borderId="6" xfId="13" applyFont="1" applyFill="1" applyBorder="1" applyAlignment="1">
      <alignment horizontal="center" vertical="center" wrapText="1"/>
    </xf>
    <xf numFmtId="41" fontId="9" fillId="6" borderId="10" xfId="13" applyFont="1" applyFill="1" applyBorder="1" applyAlignment="1">
      <alignment horizontal="center" vertical="center" wrapText="1"/>
    </xf>
    <xf numFmtId="41" fontId="9" fillId="6" borderId="7" xfId="13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wrapText="1"/>
    </xf>
    <xf numFmtId="49" fontId="7" fillId="5" borderId="11" xfId="0" applyNumberFormat="1" applyFont="1" applyFill="1" applyBorder="1" applyAlignment="1">
      <alignment horizontal="center" wrapText="1"/>
    </xf>
    <xf numFmtId="49" fontId="7" fillId="5" borderId="12" xfId="0" applyNumberFormat="1" applyFont="1" applyFill="1" applyBorder="1" applyAlignment="1">
      <alignment horizontal="center" wrapText="1"/>
    </xf>
    <xf numFmtId="49" fontId="7" fillId="6" borderId="13" xfId="0" applyNumberFormat="1" applyFont="1" applyFill="1" applyBorder="1"/>
    <xf numFmtId="49" fontId="8" fillId="2" borderId="0" xfId="0" applyNumberFormat="1" applyFont="1" applyFill="1" applyAlignment="1">
      <alignment horizontal="center" vertical="center" wrapText="1"/>
    </xf>
    <xf numFmtId="49" fontId="15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wrapText="1"/>
    </xf>
    <xf numFmtId="0" fontId="7" fillId="3" borderId="6" xfId="0" applyFont="1" applyFill="1" applyBorder="1"/>
    <xf numFmtId="0" fontId="7" fillId="3" borderId="10" xfId="0" applyFont="1" applyFill="1" applyBorder="1"/>
    <xf numFmtId="0" fontId="7" fillId="3" borderId="7" xfId="0" applyFont="1" applyFill="1" applyBorder="1"/>
    <xf numFmtId="171" fontId="7" fillId="9" borderId="1" xfId="0" applyNumberFormat="1" applyFont="1" applyFill="1" applyBorder="1" applyAlignment="1">
      <alignment horizontal="center" wrapText="1"/>
    </xf>
    <xf numFmtId="166" fontId="8" fillId="9" borderId="1" xfId="8" applyNumberFormat="1" applyFont="1" applyFill="1" applyBorder="1" applyAlignment="1">
      <alignment horizontal="center"/>
    </xf>
    <xf numFmtId="172" fontId="7" fillId="2" borderId="1" xfId="0" applyNumberFormat="1" applyFont="1" applyFill="1" applyBorder="1" applyAlignment="1">
      <alignment horizontal="center"/>
    </xf>
    <xf numFmtId="172" fontId="8" fillId="2" borderId="1" xfId="8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173" fontId="7" fillId="2" borderId="0" xfId="0" applyNumberFormat="1" applyFont="1" applyFill="1" applyAlignment="1">
      <alignment horizontal="left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71" fontId="7" fillId="10" borderId="1" xfId="0" applyNumberFormat="1" applyFont="1" applyFill="1" applyBorder="1" applyAlignment="1">
      <alignment horizontal="center" wrapText="1"/>
    </xf>
    <xf numFmtId="49" fontId="15" fillId="2" borderId="1" xfId="0" applyNumberFormat="1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49" fontId="17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8" fillId="0" borderId="1" xfId="0" applyFont="1" applyBorder="1"/>
    <xf numFmtId="171" fontId="7" fillId="2" borderId="1" xfId="0" applyNumberFormat="1" applyFont="1" applyFill="1" applyBorder="1" applyAlignment="1">
      <alignment horizontal="center" wrapText="1"/>
    </xf>
    <xf numFmtId="49" fontId="7" fillId="4" borderId="6" xfId="0" applyNumberFormat="1" applyFont="1" applyFill="1" applyBorder="1" applyAlignment="1">
      <alignment horizontal="center" wrapText="1"/>
    </xf>
    <xf numFmtId="49" fontId="7" fillId="2" borderId="10" xfId="0" quotePrefix="1" applyNumberFormat="1" applyFont="1" applyFill="1" applyBorder="1"/>
    <xf numFmtId="14" fontId="7" fillId="2" borderId="10" xfId="0" applyNumberFormat="1" applyFont="1" applyFill="1" applyBorder="1"/>
    <xf numFmtId="14" fontId="7" fillId="2" borderId="10" xfId="0" applyNumberFormat="1" applyFont="1" applyFill="1" applyBorder="1" applyAlignment="1">
      <alignment horizontal="center"/>
    </xf>
    <xf numFmtId="14" fontId="7" fillId="2" borderId="6" xfId="0" applyNumberFormat="1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7" fontId="8" fillId="5" borderId="6" xfId="0" applyNumberFormat="1" applyFont="1" applyFill="1" applyBorder="1" applyAlignment="1">
      <alignment horizontal="center" vertical="center" wrapText="1"/>
    </xf>
    <xf numFmtId="167" fontId="8" fillId="5" borderId="10" xfId="0" applyNumberFormat="1" applyFont="1" applyFill="1" applyBorder="1" applyAlignment="1">
      <alignment horizontal="center" vertical="center" wrapText="1"/>
    </xf>
    <xf numFmtId="167" fontId="8" fillId="5" borderId="7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9" fillId="6" borderId="6" xfId="8" applyNumberFormat="1" applyFont="1" applyFill="1" applyBorder="1" applyAlignment="1">
      <alignment horizontal="center" vertical="center" wrapText="1"/>
    </xf>
    <xf numFmtId="168" fontId="9" fillId="6" borderId="10" xfId="8" applyNumberFormat="1" applyFont="1" applyFill="1" applyBorder="1" applyAlignment="1">
      <alignment horizontal="center" vertical="center" wrapText="1"/>
    </xf>
    <xf numFmtId="168" fontId="9" fillId="6" borderId="7" xfId="8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49" fontId="7" fillId="5" borderId="11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14" fontId="7" fillId="4" borderId="11" xfId="0" applyNumberFormat="1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 wrapText="1"/>
    </xf>
    <xf numFmtId="14" fontId="7" fillId="4" borderId="13" xfId="0" applyNumberFormat="1" applyFont="1" applyFill="1" applyBorder="1" applyAlignment="1">
      <alignment horizontal="center" vertical="center" wrapText="1"/>
    </xf>
    <xf numFmtId="14" fontId="7" fillId="5" borderId="11" xfId="0" applyNumberFormat="1" applyFont="1" applyFill="1" applyBorder="1" applyAlignment="1">
      <alignment vertical="center" wrapText="1"/>
    </xf>
    <xf numFmtId="14" fontId="7" fillId="5" borderId="12" xfId="0" applyNumberFormat="1" applyFont="1" applyFill="1" applyBorder="1" applyAlignment="1">
      <alignment vertical="center" wrapText="1"/>
    </xf>
    <xf numFmtId="14" fontId="7" fillId="5" borderId="13" xfId="0" applyNumberFormat="1" applyFont="1" applyFill="1" applyBorder="1" applyAlignment="1">
      <alignment vertical="center" wrapText="1"/>
    </xf>
    <xf numFmtId="173" fontId="7" fillId="2" borderId="0" xfId="0" applyNumberFormat="1" applyFont="1" applyFill="1" applyAlignment="1">
      <alignment horizontal="left"/>
    </xf>
    <xf numFmtId="0" fontId="7" fillId="8" borderId="1" xfId="0" applyFont="1" applyFill="1" applyBorder="1" applyAlignment="1">
      <alignment horizontal="center" wrapText="1"/>
    </xf>
    <xf numFmtId="14" fontId="7" fillId="9" borderId="10" xfId="0" applyNumberFormat="1" applyFont="1" applyFill="1" applyBorder="1" applyAlignment="1">
      <alignment horizontal="center"/>
    </xf>
    <xf numFmtId="14" fontId="7" fillId="9" borderId="1" xfId="0" applyNumberFormat="1" applyFont="1" applyFill="1" applyBorder="1"/>
    <xf numFmtId="171" fontId="8" fillId="2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12" fontId="18" fillId="0" borderId="0" xfId="0" applyNumberFormat="1" applyFont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</cellXfs>
  <cellStyles count="14">
    <cellStyle name="Comma" xfId="8" builtinId="3"/>
    <cellStyle name="Comma [0]" xfId="13" builtinId="6"/>
    <cellStyle name="Comma 2" xfId="4" xr:uid="{00000000-0005-0000-0000-000001000000}"/>
    <cellStyle name="Comma 6" xfId="1" xr:uid="{00000000-0005-0000-0000-000002000000}"/>
    <cellStyle name="Comma 7" xfId="5" xr:uid="{00000000-0005-0000-0000-000003000000}"/>
    <cellStyle name="Normal" xfId="0" builtinId="0"/>
    <cellStyle name="Normal 2" xfId="2" xr:uid="{00000000-0005-0000-0000-000005000000}"/>
    <cellStyle name="Normal 2 2" xfId="7" xr:uid="{00000000-0005-0000-0000-000006000000}"/>
    <cellStyle name="Normal 2 3" xfId="10" xr:uid="{00000000-0005-0000-0000-000007000000}"/>
    <cellStyle name="Normal 3" xfId="9" xr:uid="{00000000-0005-0000-0000-000008000000}"/>
    <cellStyle name="Normal 3 2" xfId="6" xr:uid="{00000000-0005-0000-0000-000009000000}"/>
    <cellStyle name="Normal 4" xfId="11" xr:uid="{00000000-0005-0000-0000-00000A000000}"/>
    <cellStyle name="Normal 7" xfId="3" xr:uid="{00000000-0005-0000-0000-00000B000000}"/>
    <cellStyle name="一般_LOVN出勤日報表  2014.3.10 2 3 3" xfId="12" xr:uid="{00000000-0005-0000-0000-00000C000000}"/>
  </cellStyles>
  <dxfs count="12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238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" name="image1.png">
          <a:extLst>
            <a:ext uri="{FF2B5EF4-FFF2-40B4-BE49-F238E27FC236}">
              <a16:creationId xmlns:a16="http://schemas.microsoft.com/office/drawing/2014/main" id="{9375824C-8A02-40FA-8DAB-E750D53C18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" name="image1.png">
          <a:extLst>
            <a:ext uri="{FF2B5EF4-FFF2-40B4-BE49-F238E27FC236}">
              <a16:creationId xmlns:a16="http://schemas.microsoft.com/office/drawing/2014/main" id="{8484F23D-6FCC-4B39-8299-BD167ED440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" name="image1.png">
          <a:extLst>
            <a:ext uri="{FF2B5EF4-FFF2-40B4-BE49-F238E27FC236}">
              <a16:creationId xmlns:a16="http://schemas.microsoft.com/office/drawing/2014/main" id="{ABF25F77-AEFD-49BA-A6BF-F2912A9A71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" name="image1.png">
          <a:extLst>
            <a:ext uri="{FF2B5EF4-FFF2-40B4-BE49-F238E27FC236}">
              <a16:creationId xmlns:a16="http://schemas.microsoft.com/office/drawing/2014/main" id="{1296F941-1391-4BBF-A94B-334112AA2E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" name="image1.png">
          <a:extLst>
            <a:ext uri="{FF2B5EF4-FFF2-40B4-BE49-F238E27FC236}">
              <a16:creationId xmlns:a16="http://schemas.microsoft.com/office/drawing/2014/main" id="{01C60307-CF50-4EA1-9482-9F610BEAF4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" name="image1.png">
          <a:extLst>
            <a:ext uri="{FF2B5EF4-FFF2-40B4-BE49-F238E27FC236}">
              <a16:creationId xmlns:a16="http://schemas.microsoft.com/office/drawing/2014/main" id="{8579986B-E813-4F2F-BD47-084BED8CCD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" name="image1.png">
          <a:extLst>
            <a:ext uri="{FF2B5EF4-FFF2-40B4-BE49-F238E27FC236}">
              <a16:creationId xmlns:a16="http://schemas.microsoft.com/office/drawing/2014/main" id="{79E828BB-A54A-48B7-BE02-0821D4543A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" name="image1.png">
          <a:extLst>
            <a:ext uri="{FF2B5EF4-FFF2-40B4-BE49-F238E27FC236}">
              <a16:creationId xmlns:a16="http://schemas.microsoft.com/office/drawing/2014/main" id="{AD9402B0-2BDE-40AC-8C9D-24BAE4F370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" name="image1.png">
          <a:extLst>
            <a:ext uri="{FF2B5EF4-FFF2-40B4-BE49-F238E27FC236}">
              <a16:creationId xmlns:a16="http://schemas.microsoft.com/office/drawing/2014/main" id="{F7B44027-FE45-46A8-A82C-FA141CEBF7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" name="image1.png">
          <a:extLst>
            <a:ext uri="{FF2B5EF4-FFF2-40B4-BE49-F238E27FC236}">
              <a16:creationId xmlns:a16="http://schemas.microsoft.com/office/drawing/2014/main" id="{E06901E1-27E4-42B8-BE4F-4FF0C3444B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" name="image1.png">
          <a:extLst>
            <a:ext uri="{FF2B5EF4-FFF2-40B4-BE49-F238E27FC236}">
              <a16:creationId xmlns:a16="http://schemas.microsoft.com/office/drawing/2014/main" id="{76E6EF4A-DBBD-4477-82C5-7264F64039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" name="image1.png">
          <a:extLst>
            <a:ext uri="{FF2B5EF4-FFF2-40B4-BE49-F238E27FC236}">
              <a16:creationId xmlns:a16="http://schemas.microsoft.com/office/drawing/2014/main" id="{DAE6B486-B44E-4237-A25A-4F3CCC3032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" name="image1.png">
          <a:extLst>
            <a:ext uri="{FF2B5EF4-FFF2-40B4-BE49-F238E27FC236}">
              <a16:creationId xmlns:a16="http://schemas.microsoft.com/office/drawing/2014/main" id="{4718105E-E6A6-4271-A590-2CCE50223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" name="image1.png">
          <a:extLst>
            <a:ext uri="{FF2B5EF4-FFF2-40B4-BE49-F238E27FC236}">
              <a16:creationId xmlns:a16="http://schemas.microsoft.com/office/drawing/2014/main" id="{42D3FEB1-AE2A-4160-8F1A-1609233FCD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" name="image1.png">
          <a:extLst>
            <a:ext uri="{FF2B5EF4-FFF2-40B4-BE49-F238E27FC236}">
              <a16:creationId xmlns:a16="http://schemas.microsoft.com/office/drawing/2014/main" id="{1D3BFB7D-E800-4BD6-B009-5AF984B7FE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" name="image1.png">
          <a:extLst>
            <a:ext uri="{FF2B5EF4-FFF2-40B4-BE49-F238E27FC236}">
              <a16:creationId xmlns:a16="http://schemas.microsoft.com/office/drawing/2014/main" id="{D7D67181-7681-4C1B-B984-F6D36E5300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" name="image1.png">
          <a:extLst>
            <a:ext uri="{FF2B5EF4-FFF2-40B4-BE49-F238E27FC236}">
              <a16:creationId xmlns:a16="http://schemas.microsoft.com/office/drawing/2014/main" id="{5945C505-D548-488B-BA16-2BE75A5A4C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" name="image1.png">
          <a:extLst>
            <a:ext uri="{FF2B5EF4-FFF2-40B4-BE49-F238E27FC236}">
              <a16:creationId xmlns:a16="http://schemas.microsoft.com/office/drawing/2014/main" id="{A406444D-64D9-4DC2-9D3F-5E49435DA7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" name="image1.png">
          <a:extLst>
            <a:ext uri="{FF2B5EF4-FFF2-40B4-BE49-F238E27FC236}">
              <a16:creationId xmlns:a16="http://schemas.microsoft.com/office/drawing/2014/main" id="{0D8643B8-2AE6-4715-8137-918D3683CB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" name="image1.png">
          <a:extLst>
            <a:ext uri="{FF2B5EF4-FFF2-40B4-BE49-F238E27FC236}">
              <a16:creationId xmlns:a16="http://schemas.microsoft.com/office/drawing/2014/main" id="{97459C88-1227-469E-9D4A-332248EC6C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" name="image1.png">
          <a:extLst>
            <a:ext uri="{FF2B5EF4-FFF2-40B4-BE49-F238E27FC236}">
              <a16:creationId xmlns:a16="http://schemas.microsoft.com/office/drawing/2014/main" id="{73F979CA-3118-4AB3-9FC4-667AC1D862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" name="image1.png">
          <a:extLst>
            <a:ext uri="{FF2B5EF4-FFF2-40B4-BE49-F238E27FC236}">
              <a16:creationId xmlns:a16="http://schemas.microsoft.com/office/drawing/2014/main" id="{BD8735BD-92D0-4437-8948-582E0CB0B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" name="image1.png">
          <a:extLst>
            <a:ext uri="{FF2B5EF4-FFF2-40B4-BE49-F238E27FC236}">
              <a16:creationId xmlns:a16="http://schemas.microsoft.com/office/drawing/2014/main" id="{3D1C73CF-7067-49FF-ABA3-337C3895C4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" name="image1.png">
          <a:extLst>
            <a:ext uri="{FF2B5EF4-FFF2-40B4-BE49-F238E27FC236}">
              <a16:creationId xmlns:a16="http://schemas.microsoft.com/office/drawing/2014/main" id="{7A79A489-FCF4-43FA-9187-3B68B861E9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" name="image1.png">
          <a:extLst>
            <a:ext uri="{FF2B5EF4-FFF2-40B4-BE49-F238E27FC236}">
              <a16:creationId xmlns:a16="http://schemas.microsoft.com/office/drawing/2014/main" id="{4DE3F5A4-0108-4D7C-A8F7-3AD7E1D8DC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" name="image1.png">
          <a:extLst>
            <a:ext uri="{FF2B5EF4-FFF2-40B4-BE49-F238E27FC236}">
              <a16:creationId xmlns:a16="http://schemas.microsoft.com/office/drawing/2014/main" id="{60206572-0A83-4A89-9FED-6220FF65A3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" name="image1.png">
          <a:extLst>
            <a:ext uri="{FF2B5EF4-FFF2-40B4-BE49-F238E27FC236}">
              <a16:creationId xmlns:a16="http://schemas.microsoft.com/office/drawing/2014/main" id="{B1D8180C-A92A-4C78-BA45-8942561076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" name="image1.png">
          <a:extLst>
            <a:ext uri="{FF2B5EF4-FFF2-40B4-BE49-F238E27FC236}">
              <a16:creationId xmlns:a16="http://schemas.microsoft.com/office/drawing/2014/main" id="{81DD42F8-0AF1-4B3B-88E4-1200BA52EC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" name="image1.png">
          <a:extLst>
            <a:ext uri="{FF2B5EF4-FFF2-40B4-BE49-F238E27FC236}">
              <a16:creationId xmlns:a16="http://schemas.microsoft.com/office/drawing/2014/main" id="{B80256F3-9B60-48E5-B1FA-7FE3585B84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" name="image1.png">
          <a:extLst>
            <a:ext uri="{FF2B5EF4-FFF2-40B4-BE49-F238E27FC236}">
              <a16:creationId xmlns:a16="http://schemas.microsoft.com/office/drawing/2014/main" id="{6A1D0898-060F-42DA-9626-702C325696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" name="image1.png">
          <a:extLst>
            <a:ext uri="{FF2B5EF4-FFF2-40B4-BE49-F238E27FC236}">
              <a16:creationId xmlns:a16="http://schemas.microsoft.com/office/drawing/2014/main" id="{AA519956-27B7-4BA5-8897-968785E9B7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" name="image1.png">
          <a:extLst>
            <a:ext uri="{FF2B5EF4-FFF2-40B4-BE49-F238E27FC236}">
              <a16:creationId xmlns:a16="http://schemas.microsoft.com/office/drawing/2014/main" id="{E7097AC1-B16D-42CB-9D12-E2F523A396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" name="image1.png">
          <a:extLst>
            <a:ext uri="{FF2B5EF4-FFF2-40B4-BE49-F238E27FC236}">
              <a16:creationId xmlns:a16="http://schemas.microsoft.com/office/drawing/2014/main" id="{82060A0A-272F-4853-BB62-EB8F9C1218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" name="image1.png">
          <a:extLst>
            <a:ext uri="{FF2B5EF4-FFF2-40B4-BE49-F238E27FC236}">
              <a16:creationId xmlns:a16="http://schemas.microsoft.com/office/drawing/2014/main" id="{B2C25216-B868-4659-B624-3159040D96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" name="image1.png">
          <a:extLst>
            <a:ext uri="{FF2B5EF4-FFF2-40B4-BE49-F238E27FC236}">
              <a16:creationId xmlns:a16="http://schemas.microsoft.com/office/drawing/2014/main" id="{0FB7946C-D561-49FD-9916-0A83D62CA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" name="image1.png">
          <a:extLst>
            <a:ext uri="{FF2B5EF4-FFF2-40B4-BE49-F238E27FC236}">
              <a16:creationId xmlns:a16="http://schemas.microsoft.com/office/drawing/2014/main" id="{5E763A92-63F3-4C93-A235-A6954F20B4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" name="image1.png">
          <a:extLst>
            <a:ext uri="{FF2B5EF4-FFF2-40B4-BE49-F238E27FC236}">
              <a16:creationId xmlns:a16="http://schemas.microsoft.com/office/drawing/2014/main" id="{70C6BBB8-B2B0-4884-934B-E4606170F8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" name="image1.png">
          <a:extLst>
            <a:ext uri="{FF2B5EF4-FFF2-40B4-BE49-F238E27FC236}">
              <a16:creationId xmlns:a16="http://schemas.microsoft.com/office/drawing/2014/main" id="{7918ABEF-F45D-4869-B2F0-69C0496082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" name="image1.png">
          <a:extLst>
            <a:ext uri="{FF2B5EF4-FFF2-40B4-BE49-F238E27FC236}">
              <a16:creationId xmlns:a16="http://schemas.microsoft.com/office/drawing/2014/main" id="{6E7EF432-5B2F-43BF-BA55-A456BEA1F1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" name="image1.png">
          <a:extLst>
            <a:ext uri="{FF2B5EF4-FFF2-40B4-BE49-F238E27FC236}">
              <a16:creationId xmlns:a16="http://schemas.microsoft.com/office/drawing/2014/main" id="{EA05E23C-4B10-42C4-A1C9-220F1F9598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" name="image1.png">
          <a:extLst>
            <a:ext uri="{FF2B5EF4-FFF2-40B4-BE49-F238E27FC236}">
              <a16:creationId xmlns:a16="http://schemas.microsoft.com/office/drawing/2014/main" id="{E5C2582E-49D5-46FA-ACA9-B744C8A1C6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" name="image1.png">
          <a:extLst>
            <a:ext uri="{FF2B5EF4-FFF2-40B4-BE49-F238E27FC236}">
              <a16:creationId xmlns:a16="http://schemas.microsoft.com/office/drawing/2014/main" id="{219637F7-859B-456A-9C4C-300E4BC36F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" name="image1.png">
          <a:extLst>
            <a:ext uri="{FF2B5EF4-FFF2-40B4-BE49-F238E27FC236}">
              <a16:creationId xmlns:a16="http://schemas.microsoft.com/office/drawing/2014/main" id="{C9696569-6C01-4933-B322-C8E81F2F58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" name="image1.png">
          <a:extLst>
            <a:ext uri="{FF2B5EF4-FFF2-40B4-BE49-F238E27FC236}">
              <a16:creationId xmlns:a16="http://schemas.microsoft.com/office/drawing/2014/main" id="{E2969474-763A-4D4A-A442-190C150AE9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" name="image1.png">
          <a:extLst>
            <a:ext uri="{FF2B5EF4-FFF2-40B4-BE49-F238E27FC236}">
              <a16:creationId xmlns:a16="http://schemas.microsoft.com/office/drawing/2014/main" id="{4B0CD586-49E7-401D-B3D6-B44FE250C1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" name="image1.png">
          <a:extLst>
            <a:ext uri="{FF2B5EF4-FFF2-40B4-BE49-F238E27FC236}">
              <a16:creationId xmlns:a16="http://schemas.microsoft.com/office/drawing/2014/main" id="{0FD8AC86-4051-49FE-9D5D-896D57D8F3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" name="image1.png">
          <a:extLst>
            <a:ext uri="{FF2B5EF4-FFF2-40B4-BE49-F238E27FC236}">
              <a16:creationId xmlns:a16="http://schemas.microsoft.com/office/drawing/2014/main" id="{93B8DF26-D875-43D0-ABEF-ED323A6CE6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" name="image1.png">
          <a:extLst>
            <a:ext uri="{FF2B5EF4-FFF2-40B4-BE49-F238E27FC236}">
              <a16:creationId xmlns:a16="http://schemas.microsoft.com/office/drawing/2014/main" id="{50C6E0E8-872A-4270-8A9B-311795B7F0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" name="image1.png">
          <a:extLst>
            <a:ext uri="{FF2B5EF4-FFF2-40B4-BE49-F238E27FC236}">
              <a16:creationId xmlns:a16="http://schemas.microsoft.com/office/drawing/2014/main" id="{8CA6872A-DB7D-4E19-ABA2-4832824CA5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" name="image1.png">
          <a:extLst>
            <a:ext uri="{FF2B5EF4-FFF2-40B4-BE49-F238E27FC236}">
              <a16:creationId xmlns:a16="http://schemas.microsoft.com/office/drawing/2014/main" id="{E945705F-56F8-43E1-AFCA-89DF23AE84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" name="image1.png">
          <a:extLst>
            <a:ext uri="{FF2B5EF4-FFF2-40B4-BE49-F238E27FC236}">
              <a16:creationId xmlns:a16="http://schemas.microsoft.com/office/drawing/2014/main" id="{FFEB26EE-3854-45B1-9F35-8CEF86F45B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" name="image1.png">
          <a:extLst>
            <a:ext uri="{FF2B5EF4-FFF2-40B4-BE49-F238E27FC236}">
              <a16:creationId xmlns:a16="http://schemas.microsoft.com/office/drawing/2014/main" id="{D7BE96DF-A3B0-49CA-BD72-BFDE99DA6B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" name="image1.png">
          <a:extLst>
            <a:ext uri="{FF2B5EF4-FFF2-40B4-BE49-F238E27FC236}">
              <a16:creationId xmlns:a16="http://schemas.microsoft.com/office/drawing/2014/main" id="{49D8D1D8-D277-400E-806E-B596DD0909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" name="image1.png">
          <a:extLst>
            <a:ext uri="{FF2B5EF4-FFF2-40B4-BE49-F238E27FC236}">
              <a16:creationId xmlns:a16="http://schemas.microsoft.com/office/drawing/2014/main" id="{F12B231D-399E-44A2-AE62-432D1FA617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" name="image1.png">
          <a:extLst>
            <a:ext uri="{FF2B5EF4-FFF2-40B4-BE49-F238E27FC236}">
              <a16:creationId xmlns:a16="http://schemas.microsoft.com/office/drawing/2014/main" id="{9F9A43F0-DB51-4218-A891-2FE1F67F7C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" name="image1.png">
          <a:extLst>
            <a:ext uri="{FF2B5EF4-FFF2-40B4-BE49-F238E27FC236}">
              <a16:creationId xmlns:a16="http://schemas.microsoft.com/office/drawing/2014/main" id="{29A575B1-0901-4C52-8D8A-90F1E2D681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" name="image1.png">
          <a:extLst>
            <a:ext uri="{FF2B5EF4-FFF2-40B4-BE49-F238E27FC236}">
              <a16:creationId xmlns:a16="http://schemas.microsoft.com/office/drawing/2014/main" id="{96F41334-3B19-4102-AD81-A81DEEB8A1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" name="image1.png">
          <a:extLst>
            <a:ext uri="{FF2B5EF4-FFF2-40B4-BE49-F238E27FC236}">
              <a16:creationId xmlns:a16="http://schemas.microsoft.com/office/drawing/2014/main" id="{80BB0D82-18D3-4095-A579-2DCE2A5DDD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" name="image1.png">
          <a:extLst>
            <a:ext uri="{FF2B5EF4-FFF2-40B4-BE49-F238E27FC236}">
              <a16:creationId xmlns:a16="http://schemas.microsoft.com/office/drawing/2014/main" id="{0D4B93ED-A846-44EF-8505-79CF81B559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" name="image1.png">
          <a:extLst>
            <a:ext uri="{FF2B5EF4-FFF2-40B4-BE49-F238E27FC236}">
              <a16:creationId xmlns:a16="http://schemas.microsoft.com/office/drawing/2014/main" id="{07AA1034-F7E5-4AFB-81BC-6D5A67F513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" name="image1.png">
          <a:extLst>
            <a:ext uri="{FF2B5EF4-FFF2-40B4-BE49-F238E27FC236}">
              <a16:creationId xmlns:a16="http://schemas.microsoft.com/office/drawing/2014/main" id="{2027A602-DDAC-4F58-B111-F780D991DD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" name="image1.png">
          <a:extLst>
            <a:ext uri="{FF2B5EF4-FFF2-40B4-BE49-F238E27FC236}">
              <a16:creationId xmlns:a16="http://schemas.microsoft.com/office/drawing/2014/main" id="{C28D1256-9AB6-4B87-831A-6D16E9740C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" name="image1.png">
          <a:extLst>
            <a:ext uri="{FF2B5EF4-FFF2-40B4-BE49-F238E27FC236}">
              <a16:creationId xmlns:a16="http://schemas.microsoft.com/office/drawing/2014/main" id="{F86AFD20-ADE7-434D-B9BB-FAEFE5D0E2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" name="image1.png">
          <a:extLst>
            <a:ext uri="{FF2B5EF4-FFF2-40B4-BE49-F238E27FC236}">
              <a16:creationId xmlns:a16="http://schemas.microsoft.com/office/drawing/2014/main" id="{E9B5691B-4D9A-41C2-96FA-9B36C4D018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" name="image1.png">
          <a:extLst>
            <a:ext uri="{FF2B5EF4-FFF2-40B4-BE49-F238E27FC236}">
              <a16:creationId xmlns:a16="http://schemas.microsoft.com/office/drawing/2014/main" id="{A6189327-10A1-4556-A5B2-14FF940D85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" name="image1.png">
          <a:extLst>
            <a:ext uri="{FF2B5EF4-FFF2-40B4-BE49-F238E27FC236}">
              <a16:creationId xmlns:a16="http://schemas.microsoft.com/office/drawing/2014/main" id="{485EE553-99DF-432C-84A3-3DD47A7DC5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" name="image1.png">
          <a:extLst>
            <a:ext uri="{FF2B5EF4-FFF2-40B4-BE49-F238E27FC236}">
              <a16:creationId xmlns:a16="http://schemas.microsoft.com/office/drawing/2014/main" id="{086F2977-95C9-4D7D-AD73-9BE5D81535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" name="image1.png">
          <a:extLst>
            <a:ext uri="{FF2B5EF4-FFF2-40B4-BE49-F238E27FC236}">
              <a16:creationId xmlns:a16="http://schemas.microsoft.com/office/drawing/2014/main" id="{E4B70262-B992-47F4-A333-ECBEA481DA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" name="image1.png">
          <a:extLst>
            <a:ext uri="{FF2B5EF4-FFF2-40B4-BE49-F238E27FC236}">
              <a16:creationId xmlns:a16="http://schemas.microsoft.com/office/drawing/2014/main" id="{8CBB79F3-855E-43F0-AF3A-BCB43026F3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" name="image1.png">
          <a:extLst>
            <a:ext uri="{FF2B5EF4-FFF2-40B4-BE49-F238E27FC236}">
              <a16:creationId xmlns:a16="http://schemas.microsoft.com/office/drawing/2014/main" id="{4CA011E8-7D5C-4603-AF80-D17223A7BB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" name="image1.png">
          <a:extLst>
            <a:ext uri="{FF2B5EF4-FFF2-40B4-BE49-F238E27FC236}">
              <a16:creationId xmlns:a16="http://schemas.microsoft.com/office/drawing/2014/main" id="{A91DAF86-9928-46EE-9CE5-E7BC2F15CB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" name="image1.png">
          <a:extLst>
            <a:ext uri="{FF2B5EF4-FFF2-40B4-BE49-F238E27FC236}">
              <a16:creationId xmlns:a16="http://schemas.microsoft.com/office/drawing/2014/main" id="{93241538-CC42-47C0-95C6-945AD2470F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" name="image1.png">
          <a:extLst>
            <a:ext uri="{FF2B5EF4-FFF2-40B4-BE49-F238E27FC236}">
              <a16:creationId xmlns:a16="http://schemas.microsoft.com/office/drawing/2014/main" id="{9160F746-A194-46B2-AE71-F9D45E0B21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" name="image1.png">
          <a:extLst>
            <a:ext uri="{FF2B5EF4-FFF2-40B4-BE49-F238E27FC236}">
              <a16:creationId xmlns:a16="http://schemas.microsoft.com/office/drawing/2014/main" id="{8E66DEC2-6E21-419B-93AF-620744F375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7" name="image1.png">
          <a:extLst>
            <a:ext uri="{FF2B5EF4-FFF2-40B4-BE49-F238E27FC236}">
              <a16:creationId xmlns:a16="http://schemas.microsoft.com/office/drawing/2014/main" id="{1E4C5317-C642-4EAE-A2D4-43250C2276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8" name="image1.png">
          <a:extLst>
            <a:ext uri="{FF2B5EF4-FFF2-40B4-BE49-F238E27FC236}">
              <a16:creationId xmlns:a16="http://schemas.microsoft.com/office/drawing/2014/main" id="{FA81F9F7-E49B-4788-A0E3-058C251198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9" name="image1.png">
          <a:extLst>
            <a:ext uri="{FF2B5EF4-FFF2-40B4-BE49-F238E27FC236}">
              <a16:creationId xmlns:a16="http://schemas.microsoft.com/office/drawing/2014/main" id="{ACCB50C6-DF51-4338-8269-B4C5B9B6A6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0" name="image1.png">
          <a:extLst>
            <a:ext uri="{FF2B5EF4-FFF2-40B4-BE49-F238E27FC236}">
              <a16:creationId xmlns:a16="http://schemas.microsoft.com/office/drawing/2014/main" id="{953A6C40-136C-4A9C-8522-0375979766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1" name="image1.png">
          <a:extLst>
            <a:ext uri="{FF2B5EF4-FFF2-40B4-BE49-F238E27FC236}">
              <a16:creationId xmlns:a16="http://schemas.microsoft.com/office/drawing/2014/main" id="{E944E1A9-C196-4EB6-A6DC-D4B5B96218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2" name="image1.png">
          <a:extLst>
            <a:ext uri="{FF2B5EF4-FFF2-40B4-BE49-F238E27FC236}">
              <a16:creationId xmlns:a16="http://schemas.microsoft.com/office/drawing/2014/main" id="{81F744EA-52F4-471C-96D4-0EA8D97FAE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3" name="image1.png">
          <a:extLst>
            <a:ext uri="{FF2B5EF4-FFF2-40B4-BE49-F238E27FC236}">
              <a16:creationId xmlns:a16="http://schemas.microsoft.com/office/drawing/2014/main" id="{087C5018-276E-40A8-B3E9-E1497E1EBF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4" name="image1.png">
          <a:extLst>
            <a:ext uri="{FF2B5EF4-FFF2-40B4-BE49-F238E27FC236}">
              <a16:creationId xmlns:a16="http://schemas.microsoft.com/office/drawing/2014/main" id="{B9E57CE8-E045-4640-AF62-B150A5CC0E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5" name="image1.png">
          <a:extLst>
            <a:ext uri="{FF2B5EF4-FFF2-40B4-BE49-F238E27FC236}">
              <a16:creationId xmlns:a16="http://schemas.microsoft.com/office/drawing/2014/main" id="{76FFEF3A-7A9A-4F53-B388-B7F1957449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6" name="image1.png">
          <a:extLst>
            <a:ext uri="{FF2B5EF4-FFF2-40B4-BE49-F238E27FC236}">
              <a16:creationId xmlns:a16="http://schemas.microsoft.com/office/drawing/2014/main" id="{6994CE1F-A618-4D41-B04D-426C56D1F9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7" name="image1.png">
          <a:extLst>
            <a:ext uri="{FF2B5EF4-FFF2-40B4-BE49-F238E27FC236}">
              <a16:creationId xmlns:a16="http://schemas.microsoft.com/office/drawing/2014/main" id="{0638CE79-3D40-4D0D-AA05-8EECF2DA6D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8" name="image1.png">
          <a:extLst>
            <a:ext uri="{FF2B5EF4-FFF2-40B4-BE49-F238E27FC236}">
              <a16:creationId xmlns:a16="http://schemas.microsoft.com/office/drawing/2014/main" id="{6206CF97-BD0E-4CD1-B46A-863F2BD7E2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89" name="image1.png">
          <a:extLst>
            <a:ext uri="{FF2B5EF4-FFF2-40B4-BE49-F238E27FC236}">
              <a16:creationId xmlns:a16="http://schemas.microsoft.com/office/drawing/2014/main" id="{A0BF768C-532C-40D5-93B0-5B460612AD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0" name="image1.png">
          <a:extLst>
            <a:ext uri="{FF2B5EF4-FFF2-40B4-BE49-F238E27FC236}">
              <a16:creationId xmlns:a16="http://schemas.microsoft.com/office/drawing/2014/main" id="{E0533A42-4F7B-4335-806F-1114D48FE9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1" name="image1.png">
          <a:extLst>
            <a:ext uri="{FF2B5EF4-FFF2-40B4-BE49-F238E27FC236}">
              <a16:creationId xmlns:a16="http://schemas.microsoft.com/office/drawing/2014/main" id="{D8A55215-B834-461F-8530-2547EC4D6F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2" name="image1.png">
          <a:extLst>
            <a:ext uri="{FF2B5EF4-FFF2-40B4-BE49-F238E27FC236}">
              <a16:creationId xmlns:a16="http://schemas.microsoft.com/office/drawing/2014/main" id="{BFDF24CF-DBCD-491A-88E6-55918DAE54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3" name="image1.png">
          <a:extLst>
            <a:ext uri="{FF2B5EF4-FFF2-40B4-BE49-F238E27FC236}">
              <a16:creationId xmlns:a16="http://schemas.microsoft.com/office/drawing/2014/main" id="{449500BA-BA91-47D6-B3D0-2C02E7A759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4" name="image1.png">
          <a:extLst>
            <a:ext uri="{FF2B5EF4-FFF2-40B4-BE49-F238E27FC236}">
              <a16:creationId xmlns:a16="http://schemas.microsoft.com/office/drawing/2014/main" id="{81EF2A6F-BAB4-451D-9A35-F45A78ECCA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5" name="image1.png">
          <a:extLst>
            <a:ext uri="{FF2B5EF4-FFF2-40B4-BE49-F238E27FC236}">
              <a16:creationId xmlns:a16="http://schemas.microsoft.com/office/drawing/2014/main" id="{4122A277-7F8A-421F-85DD-1E171B3BBD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6" name="image1.png">
          <a:extLst>
            <a:ext uri="{FF2B5EF4-FFF2-40B4-BE49-F238E27FC236}">
              <a16:creationId xmlns:a16="http://schemas.microsoft.com/office/drawing/2014/main" id="{C511E53A-AD26-430A-BBE8-0B1E93A6D2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7" name="image1.png">
          <a:extLst>
            <a:ext uri="{FF2B5EF4-FFF2-40B4-BE49-F238E27FC236}">
              <a16:creationId xmlns:a16="http://schemas.microsoft.com/office/drawing/2014/main" id="{843420BE-9EC2-4238-A9A0-61A9416DF1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8" name="image1.png">
          <a:extLst>
            <a:ext uri="{FF2B5EF4-FFF2-40B4-BE49-F238E27FC236}">
              <a16:creationId xmlns:a16="http://schemas.microsoft.com/office/drawing/2014/main" id="{2C688862-1A70-4ED4-8C82-55A1C76B0E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99" name="image1.png">
          <a:extLst>
            <a:ext uri="{FF2B5EF4-FFF2-40B4-BE49-F238E27FC236}">
              <a16:creationId xmlns:a16="http://schemas.microsoft.com/office/drawing/2014/main" id="{682FAB7D-1680-4AA8-9402-30AFBBE955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0" name="image1.png">
          <a:extLst>
            <a:ext uri="{FF2B5EF4-FFF2-40B4-BE49-F238E27FC236}">
              <a16:creationId xmlns:a16="http://schemas.microsoft.com/office/drawing/2014/main" id="{152520A9-38E5-46DA-81AF-1480E0F271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1" name="image1.png">
          <a:extLst>
            <a:ext uri="{FF2B5EF4-FFF2-40B4-BE49-F238E27FC236}">
              <a16:creationId xmlns:a16="http://schemas.microsoft.com/office/drawing/2014/main" id="{BC02B5D2-EBF3-494F-9014-AE5DD9EBC6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2" name="image1.png">
          <a:extLst>
            <a:ext uri="{FF2B5EF4-FFF2-40B4-BE49-F238E27FC236}">
              <a16:creationId xmlns:a16="http://schemas.microsoft.com/office/drawing/2014/main" id="{B9762A58-F7F6-4D2E-8682-3BFCE8F530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3" name="image1.png">
          <a:extLst>
            <a:ext uri="{FF2B5EF4-FFF2-40B4-BE49-F238E27FC236}">
              <a16:creationId xmlns:a16="http://schemas.microsoft.com/office/drawing/2014/main" id="{6B0D10AE-987B-464E-B39C-91AB6C780B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4" name="image1.png">
          <a:extLst>
            <a:ext uri="{FF2B5EF4-FFF2-40B4-BE49-F238E27FC236}">
              <a16:creationId xmlns:a16="http://schemas.microsoft.com/office/drawing/2014/main" id="{3BBC519C-586E-45D5-BC63-096B63AA5F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5" name="image1.png">
          <a:extLst>
            <a:ext uri="{FF2B5EF4-FFF2-40B4-BE49-F238E27FC236}">
              <a16:creationId xmlns:a16="http://schemas.microsoft.com/office/drawing/2014/main" id="{DC826710-0E79-4C74-80FB-9E81736062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6" name="image1.png">
          <a:extLst>
            <a:ext uri="{FF2B5EF4-FFF2-40B4-BE49-F238E27FC236}">
              <a16:creationId xmlns:a16="http://schemas.microsoft.com/office/drawing/2014/main" id="{56BEFE4E-875C-449D-BB7D-D0CD2F854D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7" name="image1.png">
          <a:extLst>
            <a:ext uri="{FF2B5EF4-FFF2-40B4-BE49-F238E27FC236}">
              <a16:creationId xmlns:a16="http://schemas.microsoft.com/office/drawing/2014/main" id="{5B4F9764-1237-41A1-ADF2-B7DA4AA2AF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8" name="image1.png">
          <a:extLst>
            <a:ext uri="{FF2B5EF4-FFF2-40B4-BE49-F238E27FC236}">
              <a16:creationId xmlns:a16="http://schemas.microsoft.com/office/drawing/2014/main" id="{898F6B8E-3875-4AFD-B97D-6611B758F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09" name="image1.png">
          <a:extLst>
            <a:ext uri="{FF2B5EF4-FFF2-40B4-BE49-F238E27FC236}">
              <a16:creationId xmlns:a16="http://schemas.microsoft.com/office/drawing/2014/main" id="{9DE42D38-06DF-4009-A0F7-6DA512E0C7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0" name="image1.png">
          <a:extLst>
            <a:ext uri="{FF2B5EF4-FFF2-40B4-BE49-F238E27FC236}">
              <a16:creationId xmlns:a16="http://schemas.microsoft.com/office/drawing/2014/main" id="{ECD23FBE-A649-4585-A503-EC3EA5E4F8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1" name="image1.png">
          <a:extLst>
            <a:ext uri="{FF2B5EF4-FFF2-40B4-BE49-F238E27FC236}">
              <a16:creationId xmlns:a16="http://schemas.microsoft.com/office/drawing/2014/main" id="{870953A0-298B-4B0B-9D87-9E47DE2A98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2" name="image1.png">
          <a:extLst>
            <a:ext uri="{FF2B5EF4-FFF2-40B4-BE49-F238E27FC236}">
              <a16:creationId xmlns:a16="http://schemas.microsoft.com/office/drawing/2014/main" id="{EF29BFFF-636E-478D-88B6-A18F5D062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3" name="image1.png">
          <a:extLst>
            <a:ext uri="{FF2B5EF4-FFF2-40B4-BE49-F238E27FC236}">
              <a16:creationId xmlns:a16="http://schemas.microsoft.com/office/drawing/2014/main" id="{A5421BDE-B4AA-4B7F-B05A-DAF17F1AA3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4" name="image1.png">
          <a:extLst>
            <a:ext uri="{FF2B5EF4-FFF2-40B4-BE49-F238E27FC236}">
              <a16:creationId xmlns:a16="http://schemas.microsoft.com/office/drawing/2014/main" id="{27452039-A999-490C-B276-D775A06F4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5" name="image1.png">
          <a:extLst>
            <a:ext uri="{FF2B5EF4-FFF2-40B4-BE49-F238E27FC236}">
              <a16:creationId xmlns:a16="http://schemas.microsoft.com/office/drawing/2014/main" id="{DB3DEF4F-58D7-4C65-BED9-A6FCD14D18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6" name="image1.png">
          <a:extLst>
            <a:ext uri="{FF2B5EF4-FFF2-40B4-BE49-F238E27FC236}">
              <a16:creationId xmlns:a16="http://schemas.microsoft.com/office/drawing/2014/main" id="{43A5E251-0241-462B-B7A6-BBD8D5370E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7" name="image1.png">
          <a:extLst>
            <a:ext uri="{FF2B5EF4-FFF2-40B4-BE49-F238E27FC236}">
              <a16:creationId xmlns:a16="http://schemas.microsoft.com/office/drawing/2014/main" id="{D9DD3C63-17B0-4709-B64F-3848B281CB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8" name="image1.png">
          <a:extLst>
            <a:ext uri="{FF2B5EF4-FFF2-40B4-BE49-F238E27FC236}">
              <a16:creationId xmlns:a16="http://schemas.microsoft.com/office/drawing/2014/main" id="{BCBA45D6-AB84-4F32-9942-92AB7DB34C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19" name="image1.png">
          <a:extLst>
            <a:ext uri="{FF2B5EF4-FFF2-40B4-BE49-F238E27FC236}">
              <a16:creationId xmlns:a16="http://schemas.microsoft.com/office/drawing/2014/main" id="{7C7916F7-6B94-4A79-AB7B-86D6D55475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0" name="image1.png">
          <a:extLst>
            <a:ext uri="{FF2B5EF4-FFF2-40B4-BE49-F238E27FC236}">
              <a16:creationId xmlns:a16="http://schemas.microsoft.com/office/drawing/2014/main" id="{A8BD7F87-8BE3-4B98-A32F-2574894461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1" name="image1.png">
          <a:extLst>
            <a:ext uri="{FF2B5EF4-FFF2-40B4-BE49-F238E27FC236}">
              <a16:creationId xmlns:a16="http://schemas.microsoft.com/office/drawing/2014/main" id="{6820BBD2-8880-429F-B2B4-DFFF77CBFA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2" name="image1.png">
          <a:extLst>
            <a:ext uri="{FF2B5EF4-FFF2-40B4-BE49-F238E27FC236}">
              <a16:creationId xmlns:a16="http://schemas.microsoft.com/office/drawing/2014/main" id="{1CCCEBF9-56C1-4BE3-9425-B19E033690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3" name="image1.png">
          <a:extLst>
            <a:ext uri="{FF2B5EF4-FFF2-40B4-BE49-F238E27FC236}">
              <a16:creationId xmlns:a16="http://schemas.microsoft.com/office/drawing/2014/main" id="{64804873-88C5-41B1-ABBF-9D85F271B7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4" name="image1.png">
          <a:extLst>
            <a:ext uri="{FF2B5EF4-FFF2-40B4-BE49-F238E27FC236}">
              <a16:creationId xmlns:a16="http://schemas.microsoft.com/office/drawing/2014/main" id="{E5406E63-FE71-4C6F-B29C-4A368A37F6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5" name="image1.png">
          <a:extLst>
            <a:ext uri="{FF2B5EF4-FFF2-40B4-BE49-F238E27FC236}">
              <a16:creationId xmlns:a16="http://schemas.microsoft.com/office/drawing/2014/main" id="{9BA4058A-2B3C-40CD-8F1F-6B1719D907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6" name="image1.png">
          <a:extLst>
            <a:ext uri="{FF2B5EF4-FFF2-40B4-BE49-F238E27FC236}">
              <a16:creationId xmlns:a16="http://schemas.microsoft.com/office/drawing/2014/main" id="{5D346542-BDF3-4FE8-80A8-8F0BCE4545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7" name="image1.png">
          <a:extLst>
            <a:ext uri="{FF2B5EF4-FFF2-40B4-BE49-F238E27FC236}">
              <a16:creationId xmlns:a16="http://schemas.microsoft.com/office/drawing/2014/main" id="{1A307DFC-D40C-4C85-9EC5-2F74309822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8" name="image1.png">
          <a:extLst>
            <a:ext uri="{FF2B5EF4-FFF2-40B4-BE49-F238E27FC236}">
              <a16:creationId xmlns:a16="http://schemas.microsoft.com/office/drawing/2014/main" id="{B0DC1801-911F-4225-AAA9-0D6993CE7D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29" name="image1.png">
          <a:extLst>
            <a:ext uri="{FF2B5EF4-FFF2-40B4-BE49-F238E27FC236}">
              <a16:creationId xmlns:a16="http://schemas.microsoft.com/office/drawing/2014/main" id="{D938A29A-55EB-4D9E-98E7-B65A36C6F7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0" name="image1.png">
          <a:extLst>
            <a:ext uri="{FF2B5EF4-FFF2-40B4-BE49-F238E27FC236}">
              <a16:creationId xmlns:a16="http://schemas.microsoft.com/office/drawing/2014/main" id="{45166409-89DF-4650-B538-B36B787FC5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1" name="image1.png">
          <a:extLst>
            <a:ext uri="{FF2B5EF4-FFF2-40B4-BE49-F238E27FC236}">
              <a16:creationId xmlns:a16="http://schemas.microsoft.com/office/drawing/2014/main" id="{2D5892EA-C406-4CD6-AACD-B0F21C06DC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2" name="image1.png">
          <a:extLst>
            <a:ext uri="{FF2B5EF4-FFF2-40B4-BE49-F238E27FC236}">
              <a16:creationId xmlns:a16="http://schemas.microsoft.com/office/drawing/2014/main" id="{D8EB1254-5DB4-4588-A4AC-7457DA0319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3" name="image1.png">
          <a:extLst>
            <a:ext uri="{FF2B5EF4-FFF2-40B4-BE49-F238E27FC236}">
              <a16:creationId xmlns:a16="http://schemas.microsoft.com/office/drawing/2014/main" id="{EF28829A-E002-4E75-80A3-3A786777C0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4" name="image1.png">
          <a:extLst>
            <a:ext uri="{FF2B5EF4-FFF2-40B4-BE49-F238E27FC236}">
              <a16:creationId xmlns:a16="http://schemas.microsoft.com/office/drawing/2014/main" id="{86D2B57F-A58B-45D3-89B9-1E6730A31F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5" name="image1.png">
          <a:extLst>
            <a:ext uri="{FF2B5EF4-FFF2-40B4-BE49-F238E27FC236}">
              <a16:creationId xmlns:a16="http://schemas.microsoft.com/office/drawing/2014/main" id="{817D7E7D-49AF-4418-8A71-BE7459E755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6" name="image1.png">
          <a:extLst>
            <a:ext uri="{FF2B5EF4-FFF2-40B4-BE49-F238E27FC236}">
              <a16:creationId xmlns:a16="http://schemas.microsoft.com/office/drawing/2014/main" id="{4080F067-05A1-45F2-8780-23AEB97C00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7" name="image1.png">
          <a:extLst>
            <a:ext uri="{FF2B5EF4-FFF2-40B4-BE49-F238E27FC236}">
              <a16:creationId xmlns:a16="http://schemas.microsoft.com/office/drawing/2014/main" id="{0C2F5EAE-6FCF-462D-8506-6C0ED337D8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8" name="image1.png">
          <a:extLst>
            <a:ext uri="{FF2B5EF4-FFF2-40B4-BE49-F238E27FC236}">
              <a16:creationId xmlns:a16="http://schemas.microsoft.com/office/drawing/2014/main" id="{2DBFE894-5E8D-49CA-831C-2182114D6D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39" name="image1.png">
          <a:extLst>
            <a:ext uri="{FF2B5EF4-FFF2-40B4-BE49-F238E27FC236}">
              <a16:creationId xmlns:a16="http://schemas.microsoft.com/office/drawing/2014/main" id="{375A32C8-49CD-451F-89DA-E6D0588E04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0" name="image1.png">
          <a:extLst>
            <a:ext uri="{FF2B5EF4-FFF2-40B4-BE49-F238E27FC236}">
              <a16:creationId xmlns:a16="http://schemas.microsoft.com/office/drawing/2014/main" id="{C23CDCC9-CDBB-4FD8-A0C1-CD9037FCA0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1" name="image1.png">
          <a:extLst>
            <a:ext uri="{FF2B5EF4-FFF2-40B4-BE49-F238E27FC236}">
              <a16:creationId xmlns:a16="http://schemas.microsoft.com/office/drawing/2014/main" id="{0C3D3C4F-CCE1-408D-8371-CAE42267C5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2" name="image1.png">
          <a:extLst>
            <a:ext uri="{FF2B5EF4-FFF2-40B4-BE49-F238E27FC236}">
              <a16:creationId xmlns:a16="http://schemas.microsoft.com/office/drawing/2014/main" id="{F48264AF-2574-42DF-981A-F36FFEC544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3" name="image1.png">
          <a:extLst>
            <a:ext uri="{FF2B5EF4-FFF2-40B4-BE49-F238E27FC236}">
              <a16:creationId xmlns:a16="http://schemas.microsoft.com/office/drawing/2014/main" id="{BEC347B7-97EE-4434-9A4C-190D04671F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4" name="image1.png">
          <a:extLst>
            <a:ext uri="{FF2B5EF4-FFF2-40B4-BE49-F238E27FC236}">
              <a16:creationId xmlns:a16="http://schemas.microsoft.com/office/drawing/2014/main" id="{681C96F4-5B58-464E-8EE3-B1CE5355BA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5" name="image1.png">
          <a:extLst>
            <a:ext uri="{FF2B5EF4-FFF2-40B4-BE49-F238E27FC236}">
              <a16:creationId xmlns:a16="http://schemas.microsoft.com/office/drawing/2014/main" id="{14822724-2EDC-46D1-9F8D-3A791EB440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6" name="image1.png">
          <a:extLst>
            <a:ext uri="{FF2B5EF4-FFF2-40B4-BE49-F238E27FC236}">
              <a16:creationId xmlns:a16="http://schemas.microsoft.com/office/drawing/2014/main" id="{60C9B657-0324-4B83-8254-35F2A5FE58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7" name="image1.png">
          <a:extLst>
            <a:ext uri="{FF2B5EF4-FFF2-40B4-BE49-F238E27FC236}">
              <a16:creationId xmlns:a16="http://schemas.microsoft.com/office/drawing/2014/main" id="{3036FDC8-911C-4FE8-9D60-5E990D14AD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8" name="image1.png">
          <a:extLst>
            <a:ext uri="{FF2B5EF4-FFF2-40B4-BE49-F238E27FC236}">
              <a16:creationId xmlns:a16="http://schemas.microsoft.com/office/drawing/2014/main" id="{0F598733-4880-4870-8E61-37872A2BD1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49" name="image1.png">
          <a:extLst>
            <a:ext uri="{FF2B5EF4-FFF2-40B4-BE49-F238E27FC236}">
              <a16:creationId xmlns:a16="http://schemas.microsoft.com/office/drawing/2014/main" id="{72275980-41D2-4A0B-B309-69AD81C08E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0" name="image1.png">
          <a:extLst>
            <a:ext uri="{FF2B5EF4-FFF2-40B4-BE49-F238E27FC236}">
              <a16:creationId xmlns:a16="http://schemas.microsoft.com/office/drawing/2014/main" id="{5BE3C0B4-020D-474D-BA13-FE91D5B19F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1" name="image1.png">
          <a:extLst>
            <a:ext uri="{FF2B5EF4-FFF2-40B4-BE49-F238E27FC236}">
              <a16:creationId xmlns:a16="http://schemas.microsoft.com/office/drawing/2014/main" id="{9F879ED8-FCE7-45A8-ACDA-36628A465A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2" name="image1.png">
          <a:extLst>
            <a:ext uri="{FF2B5EF4-FFF2-40B4-BE49-F238E27FC236}">
              <a16:creationId xmlns:a16="http://schemas.microsoft.com/office/drawing/2014/main" id="{36AF8D5B-5038-48B4-BE1E-9E9463DD66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3" name="image1.png">
          <a:extLst>
            <a:ext uri="{FF2B5EF4-FFF2-40B4-BE49-F238E27FC236}">
              <a16:creationId xmlns:a16="http://schemas.microsoft.com/office/drawing/2014/main" id="{3A9821D6-3EAC-4E34-AA9B-163F373D44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4" name="image1.png">
          <a:extLst>
            <a:ext uri="{FF2B5EF4-FFF2-40B4-BE49-F238E27FC236}">
              <a16:creationId xmlns:a16="http://schemas.microsoft.com/office/drawing/2014/main" id="{703913E4-5E3B-4725-B2B2-1636E665F1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5" name="image1.png">
          <a:extLst>
            <a:ext uri="{FF2B5EF4-FFF2-40B4-BE49-F238E27FC236}">
              <a16:creationId xmlns:a16="http://schemas.microsoft.com/office/drawing/2014/main" id="{62C66D86-104A-4846-9673-233FD1789F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6" name="image1.png">
          <a:extLst>
            <a:ext uri="{FF2B5EF4-FFF2-40B4-BE49-F238E27FC236}">
              <a16:creationId xmlns:a16="http://schemas.microsoft.com/office/drawing/2014/main" id="{775F2186-7D32-409A-978E-BE3D03D654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7" name="image1.png">
          <a:extLst>
            <a:ext uri="{FF2B5EF4-FFF2-40B4-BE49-F238E27FC236}">
              <a16:creationId xmlns:a16="http://schemas.microsoft.com/office/drawing/2014/main" id="{B1043E35-72B9-4E88-8575-6E7DD7CDB5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8" name="image1.png">
          <a:extLst>
            <a:ext uri="{FF2B5EF4-FFF2-40B4-BE49-F238E27FC236}">
              <a16:creationId xmlns:a16="http://schemas.microsoft.com/office/drawing/2014/main" id="{02627130-A0C2-4A42-9EC2-4131517284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59" name="image1.png">
          <a:extLst>
            <a:ext uri="{FF2B5EF4-FFF2-40B4-BE49-F238E27FC236}">
              <a16:creationId xmlns:a16="http://schemas.microsoft.com/office/drawing/2014/main" id="{7ABFECE1-4067-414A-B921-0477D99F17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0" name="image1.png">
          <a:extLst>
            <a:ext uri="{FF2B5EF4-FFF2-40B4-BE49-F238E27FC236}">
              <a16:creationId xmlns:a16="http://schemas.microsoft.com/office/drawing/2014/main" id="{246BF865-F0DF-4FF4-9488-619C322FBA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1" name="image1.png">
          <a:extLst>
            <a:ext uri="{FF2B5EF4-FFF2-40B4-BE49-F238E27FC236}">
              <a16:creationId xmlns:a16="http://schemas.microsoft.com/office/drawing/2014/main" id="{174C2A7E-3DDC-425D-8282-8F12EA7957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2" name="image1.png">
          <a:extLst>
            <a:ext uri="{FF2B5EF4-FFF2-40B4-BE49-F238E27FC236}">
              <a16:creationId xmlns:a16="http://schemas.microsoft.com/office/drawing/2014/main" id="{5AE6DBB7-A351-4714-BDD9-0F28F44352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3" name="image1.png">
          <a:extLst>
            <a:ext uri="{FF2B5EF4-FFF2-40B4-BE49-F238E27FC236}">
              <a16:creationId xmlns:a16="http://schemas.microsoft.com/office/drawing/2014/main" id="{46C7DE95-63B8-443F-AF56-0EC2EF289B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4" name="image1.png">
          <a:extLst>
            <a:ext uri="{FF2B5EF4-FFF2-40B4-BE49-F238E27FC236}">
              <a16:creationId xmlns:a16="http://schemas.microsoft.com/office/drawing/2014/main" id="{5D74892A-7F29-4E13-A51E-BD878362CA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5" name="image1.png">
          <a:extLst>
            <a:ext uri="{FF2B5EF4-FFF2-40B4-BE49-F238E27FC236}">
              <a16:creationId xmlns:a16="http://schemas.microsoft.com/office/drawing/2014/main" id="{711A384B-03A7-4F42-9A58-FF0CAE1169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6" name="image1.png">
          <a:extLst>
            <a:ext uri="{FF2B5EF4-FFF2-40B4-BE49-F238E27FC236}">
              <a16:creationId xmlns:a16="http://schemas.microsoft.com/office/drawing/2014/main" id="{B1437D2A-CF00-4974-9BDD-B2CE5B7297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7" name="image1.png">
          <a:extLst>
            <a:ext uri="{FF2B5EF4-FFF2-40B4-BE49-F238E27FC236}">
              <a16:creationId xmlns:a16="http://schemas.microsoft.com/office/drawing/2014/main" id="{DE51549E-04E7-4F2A-B21C-0F417AD1E4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8" name="image1.png">
          <a:extLst>
            <a:ext uri="{FF2B5EF4-FFF2-40B4-BE49-F238E27FC236}">
              <a16:creationId xmlns:a16="http://schemas.microsoft.com/office/drawing/2014/main" id="{B2DEEF65-99E3-430A-86B8-7B578875FC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69" name="image1.png">
          <a:extLst>
            <a:ext uri="{FF2B5EF4-FFF2-40B4-BE49-F238E27FC236}">
              <a16:creationId xmlns:a16="http://schemas.microsoft.com/office/drawing/2014/main" id="{DD251321-D089-477F-9578-8585D69AD8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0" name="image1.png">
          <a:extLst>
            <a:ext uri="{FF2B5EF4-FFF2-40B4-BE49-F238E27FC236}">
              <a16:creationId xmlns:a16="http://schemas.microsoft.com/office/drawing/2014/main" id="{33AB1449-6AB2-42B5-A758-8FA923E330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1" name="image1.png">
          <a:extLst>
            <a:ext uri="{FF2B5EF4-FFF2-40B4-BE49-F238E27FC236}">
              <a16:creationId xmlns:a16="http://schemas.microsoft.com/office/drawing/2014/main" id="{B63F5A3E-E03A-4D83-9D7A-50E98D4FDC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2" name="image1.png">
          <a:extLst>
            <a:ext uri="{FF2B5EF4-FFF2-40B4-BE49-F238E27FC236}">
              <a16:creationId xmlns:a16="http://schemas.microsoft.com/office/drawing/2014/main" id="{92193CFB-697B-45B6-867B-56C3613D97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3" name="image1.png">
          <a:extLst>
            <a:ext uri="{FF2B5EF4-FFF2-40B4-BE49-F238E27FC236}">
              <a16:creationId xmlns:a16="http://schemas.microsoft.com/office/drawing/2014/main" id="{0F2532F1-8511-4128-B91B-4B329E79F4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4" name="image1.png">
          <a:extLst>
            <a:ext uri="{FF2B5EF4-FFF2-40B4-BE49-F238E27FC236}">
              <a16:creationId xmlns:a16="http://schemas.microsoft.com/office/drawing/2014/main" id="{D61BF95D-62A8-41D7-B7EB-35C60BF28D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5" name="image1.png">
          <a:extLst>
            <a:ext uri="{FF2B5EF4-FFF2-40B4-BE49-F238E27FC236}">
              <a16:creationId xmlns:a16="http://schemas.microsoft.com/office/drawing/2014/main" id="{5BD90D2C-0DA6-47F7-8EA5-ACEA32E1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6" name="image1.png">
          <a:extLst>
            <a:ext uri="{FF2B5EF4-FFF2-40B4-BE49-F238E27FC236}">
              <a16:creationId xmlns:a16="http://schemas.microsoft.com/office/drawing/2014/main" id="{F2A6D0DB-F97F-411F-8070-8432D0D82F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7" name="image1.png">
          <a:extLst>
            <a:ext uri="{FF2B5EF4-FFF2-40B4-BE49-F238E27FC236}">
              <a16:creationId xmlns:a16="http://schemas.microsoft.com/office/drawing/2014/main" id="{E6AC957A-38B1-4CF7-B4BA-F8A42B2AF1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8" name="image1.png">
          <a:extLst>
            <a:ext uri="{FF2B5EF4-FFF2-40B4-BE49-F238E27FC236}">
              <a16:creationId xmlns:a16="http://schemas.microsoft.com/office/drawing/2014/main" id="{AC29D924-6E81-4992-A83D-DB328BE7AD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79" name="image1.png">
          <a:extLst>
            <a:ext uri="{FF2B5EF4-FFF2-40B4-BE49-F238E27FC236}">
              <a16:creationId xmlns:a16="http://schemas.microsoft.com/office/drawing/2014/main" id="{F48AFC48-5DCC-43B8-8706-B8EF58536E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0" name="image1.png">
          <a:extLst>
            <a:ext uri="{FF2B5EF4-FFF2-40B4-BE49-F238E27FC236}">
              <a16:creationId xmlns:a16="http://schemas.microsoft.com/office/drawing/2014/main" id="{A16A57BF-C4B5-47C1-A559-545294D04B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1" name="image1.png">
          <a:extLst>
            <a:ext uri="{FF2B5EF4-FFF2-40B4-BE49-F238E27FC236}">
              <a16:creationId xmlns:a16="http://schemas.microsoft.com/office/drawing/2014/main" id="{F44FC00C-B9EF-47D1-901F-80B3191DEE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2" name="image1.png">
          <a:extLst>
            <a:ext uri="{FF2B5EF4-FFF2-40B4-BE49-F238E27FC236}">
              <a16:creationId xmlns:a16="http://schemas.microsoft.com/office/drawing/2014/main" id="{B86F0469-43CB-4A85-850D-2745F5E16B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3" name="image1.png">
          <a:extLst>
            <a:ext uri="{FF2B5EF4-FFF2-40B4-BE49-F238E27FC236}">
              <a16:creationId xmlns:a16="http://schemas.microsoft.com/office/drawing/2014/main" id="{E44C5200-6338-4E98-A1AB-E19ABB2526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4" name="image1.png">
          <a:extLst>
            <a:ext uri="{FF2B5EF4-FFF2-40B4-BE49-F238E27FC236}">
              <a16:creationId xmlns:a16="http://schemas.microsoft.com/office/drawing/2014/main" id="{1146C94F-ABBA-4036-B6C6-58920DE264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5" name="image1.png">
          <a:extLst>
            <a:ext uri="{FF2B5EF4-FFF2-40B4-BE49-F238E27FC236}">
              <a16:creationId xmlns:a16="http://schemas.microsoft.com/office/drawing/2014/main" id="{1A64C9F1-36EC-4A57-A7A5-E3499BF1A6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6" name="image1.png">
          <a:extLst>
            <a:ext uri="{FF2B5EF4-FFF2-40B4-BE49-F238E27FC236}">
              <a16:creationId xmlns:a16="http://schemas.microsoft.com/office/drawing/2014/main" id="{45C18D49-4021-47F3-994D-BE4157ED90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7" name="image1.png">
          <a:extLst>
            <a:ext uri="{FF2B5EF4-FFF2-40B4-BE49-F238E27FC236}">
              <a16:creationId xmlns:a16="http://schemas.microsoft.com/office/drawing/2014/main" id="{D752C059-580E-4CEC-A938-880A450EA2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8" name="image1.png">
          <a:extLst>
            <a:ext uri="{FF2B5EF4-FFF2-40B4-BE49-F238E27FC236}">
              <a16:creationId xmlns:a16="http://schemas.microsoft.com/office/drawing/2014/main" id="{31EB8369-ADB2-4A44-B0C1-6ED83C8845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89" name="image1.png">
          <a:extLst>
            <a:ext uri="{FF2B5EF4-FFF2-40B4-BE49-F238E27FC236}">
              <a16:creationId xmlns:a16="http://schemas.microsoft.com/office/drawing/2014/main" id="{3C9CFAFA-398F-426E-A797-F2818BD190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0" name="image1.png">
          <a:extLst>
            <a:ext uri="{FF2B5EF4-FFF2-40B4-BE49-F238E27FC236}">
              <a16:creationId xmlns:a16="http://schemas.microsoft.com/office/drawing/2014/main" id="{6424A2C3-8264-48AA-B0B2-C270929565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1" name="image1.png">
          <a:extLst>
            <a:ext uri="{FF2B5EF4-FFF2-40B4-BE49-F238E27FC236}">
              <a16:creationId xmlns:a16="http://schemas.microsoft.com/office/drawing/2014/main" id="{6C675A0D-ACC2-4E48-B4F0-19C71759A6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2" name="image1.png">
          <a:extLst>
            <a:ext uri="{FF2B5EF4-FFF2-40B4-BE49-F238E27FC236}">
              <a16:creationId xmlns:a16="http://schemas.microsoft.com/office/drawing/2014/main" id="{BD25F609-D952-4C30-9CC2-AE73008B9C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3" name="image1.png">
          <a:extLst>
            <a:ext uri="{FF2B5EF4-FFF2-40B4-BE49-F238E27FC236}">
              <a16:creationId xmlns:a16="http://schemas.microsoft.com/office/drawing/2014/main" id="{85D6D6E5-196E-4AF5-9DC9-1F5081E5FD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4" name="image1.png">
          <a:extLst>
            <a:ext uri="{FF2B5EF4-FFF2-40B4-BE49-F238E27FC236}">
              <a16:creationId xmlns:a16="http://schemas.microsoft.com/office/drawing/2014/main" id="{F487E16D-329A-47DC-8B22-BA8CCC848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5" name="image1.png">
          <a:extLst>
            <a:ext uri="{FF2B5EF4-FFF2-40B4-BE49-F238E27FC236}">
              <a16:creationId xmlns:a16="http://schemas.microsoft.com/office/drawing/2014/main" id="{83DA3394-2A89-4A55-B5DF-57B861E996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6" name="image1.png">
          <a:extLst>
            <a:ext uri="{FF2B5EF4-FFF2-40B4-BE49-F238E27FC236}">
              <a16:creationId xmlns:a16="http://schemas.microsoft.com/office/drawing/2014/main" id="{2ABFFADF-59E8-408E-A402-C016AC0987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7" name="image1.png">
          <a:extLst>
            <a:ext uri="{FF2B5EF4-FFF2-40B4-BE49-F238E27FC236}">
              <a16:creationId xmlns:a16="http://schemas.microsoft.com/office/drawing/2014/main" id="{63D4520F-3BF9-4555-A1E0-367BD8AA75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8" name="image1.png">
          <a:extLst>
            <a:ext uri="{FF2B5EF4-FFF2-40B4-BE49-F238E27FC236}">
              <a16:creationId xmlns:a16="http://schemas.microsoft.com/office/drawing/2014/main" id="{C7741DCB-E3BF-4EE9-936B-3F27E85BE5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199" name="image1.png">
          <a:extLst>
            <a:ext uri="{FF2B5EF4-FFF2-40B4-BE49-F238E27FC236}">
              <a16:creationId xmlns:a16="http://schemas.microsoft.com/office/drawing/2014/main" id="{04855033-DC7A-4429-B0AE-77EB355B51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0" name="image1.png">
          <a:extLst>
            <a:ext uri="{FF2B5EF4-FFF2-40B4-BE49-F238E27FC236}">
              <a16:creationId xmlns:a16="http://schemas.microsoft.com/office/drawing/2014/main" id="{C5592DB6-DD61-4786-89E2-913DF745E7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1" name="image1.png">
          <a:extLst>
            <a:ext uri="{FF2B5EF4-FFF2-40B4-BE49-F238E27FC236}">
              <a16:creationId xmlns:a16="http://schemas.microsoft.com/office/drawing/2014/main" id="{BA6EA247-0070-4DD6-8F0C-7E363AD99E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2" name="image1.png">
          <a:extLst>
            <a:ext uri="{FF2B5EF4-FFF2-40B4-BE49-F238E27FC236}">
              <a16:creationId xmlns:a16="http://schemas.microsoft.com/office/drawing/2014/main" id="{C4A7AB34-6CE2-49CC-BB6F-81BF4DA997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3" name="image1.png">
          <a:extLst>
            <a:ext uri="{FF2B5EF4-FFF2-40B4-BE49-F238E27FC236}">
              <a16:creationId xmlns:a16="http://schemas.microsoft.com/office/drawing/2014/main" id="{172E23CA-387D-4194-BBDD-237AD9A789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4" name="image1.png">
          <a:extLst>
            <a:ext uri="{FF2B5EF4-FFF2-40B4-BE49-F238E27FC236}">
              <a16:creationId xmlns:a16="http://schemas.microsoft.com/office/drawing/2014/main" id="{B23668D8-EC11-41B2-A8A3-71321DE854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5" name="image1.png">
          <a:extLst>
            <a:ext uri="{FF2B5EF4-FFF2-40B4-BE49-F238E27FC236}">
              <a16:creationId xmlns:a16="http://schemas.microsoft.com/office/drawing/2014/main" id="{E66C7C78-3C27-4417-934E-F197B4AE75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6" name="image1.png">
          <a:extLst>
            <a:ext uri="{FF2B5EF4-FFF2-40B4-BE49-F238E27FC236}">
              <a16:creationId xmlns:a16="http://schemas.microsoft.com/office/drawing/2014/main" id="{D3AA3752-8FAE-4FA4-9820-5B22A22E80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7" name="image1.png">
          <a:extLst>
            <a:ext uri="{FF2B5EF4-FFF2-40B4-BE49-F238E27FC236}">
              <a16:creationId xmlns:a16="http://schemas.microsoft.com/office/drawing/2014/main" id="{15089A5F-5C8E-45BD-8C20-B7247E43B4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8" name="image1.png">
          <a:extLst>
            <a:ext uri="{FF2B5EF4-FFF2-40B4-BE49-F238E27FC236}">
              <a16:creationId xmlns:a16="http://schemas.microsoft.com/office/drawing/2014/main" id="{5C2582CC-408E-464A-A958-C1085A7A51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09" name="image1.png">
          <a:extLst>
            <a:ext uri="{FF2B5EF4-FFF2-40B4-BE49-F238E27FC236}">
              <a16:creationId xmlns:a16="http://schemas.microsoft.com/office/drawing/2014/main" id="{F08E9E37-A24B-48A8-BDA5-35B017216E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0" name="image1.png">
          <a:extLst>
            <a:ext uri="{FF2B5EF4-FFF2-40B4-BE49-F238E27FC236}">
              <a16:creationId xmlns:a16="http://schemas.microsoft.com/office/drawing/2014/main" id="{C26713D0-1056-456B-9847-35C3C92EF3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1" name="image1.png">
          <a:extLst>
            <a:ext uri="{FF2B5EF4-FFF2-40B4-BE49-F238E27FC236}">
              <a16:creationId xmlns:a16="http://schemas.microsoft.com/office/drawing/2014/main" id="{1D1D45D7-B5E1-4D01-9C06-1C61F6A96B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2" name="image1.png">
          <a:extLst>
            <a:ext uri="{FF2B5EF4-FFF2-40B4-BE49-F238E27FC236}">
              <a16:creationId xmlns:a16="http://schemas.microsoft.com/office/drawing/2014/main" id="{9FA98497-5B7F-44C1-B2CA-6148A4840E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3" name="image1.png">
          <a:extLst>
            <a:ext uri="{FF2B5EF4-FFF2-40B4-BE49-F238E27FC236}">
              <a16:creationId xmlns:a16="http://schemas.microsoft.com/office/drawing/2014/main" id="{197C69E5-B8B3-487B-9AB6-580EC44AB2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4" name="image1.png">
          <a:extLst>
            <a:ext uri="{FF2B5EF4-FFF2-40B4-BE49-F238E27FC236}">
              <a16:creationId xmlns:a16="http://schemas.microsoft.com/office/drawing/2014/main" id="{45EC82DF-2BE0-4D8F-8B27-E54BC1AD2F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5" name="image1.png">
          <a:extLst>
            <a:ext uri="{FF2B5EF4-FFF2-40B4-BE49-F238E27FC236}">
              <a16:creationId xmlns:a16="http://schemas.microsoft.com/office/drawing/2014/main" id="{08FF74DF-D6F7-4D40-A822-4E523616BD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6" name="image1.png">
          <a:extLst>
            <a:ext uri="{FF2B5EF4-FFF2-40B4-BE49-F238E27FC236}">
              <a16:creationId xmlns:a16="http://schemas.microsoft.com/office/drawing/2014/main" id="{76BC902F-F55E-40C7-9BF0-DE3255D8F3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7" name="image1.png">
          <a:extLst>
            <a:ext uri="{FF2B5EF4-FFF2-40B4-BE49-F238E27FC236}">
              <a16:creationId xmlns:a16="http://schemas.microsoft.com/office/drawing/2014/main" id="{C5C44D1F-C750-4E6E-8AA4-6729223E09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8" name="image1.png">
          <a:extLst>
            <a:ext uri="{FF2B5EF4-FFF2-40B4-BE49-F238E27FC236}">
              <a16:creationId xmlns:a16="http://schemas.microsoft.com/office/drawing/2014/main" id="{0EE50FDD-A39D-443B-A8D6-593314E820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19" name="image1.png">
          <a:extLst>
            <a:ext uri="{FF2B5EF4-FFF2-40B4-BE49-F238E27FC236}">
              <a16:creationId xmlns:a16="http://schemas.microsoft.com/office/drawing/2014/main" id="{8A31F75B-60EA-4BBB-8EB5-EB616E4AC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0" name="image1.png">
          <a:extLst>
            <a:ext uri="{FF2B5EF4-FFF2-40B4-BE49-F238E27FC236}">
              <a16:creationId xmlns:a16="http://schemas.microsoft.com/office/drawing/2014/main" id="{EF9C2C4E-364F-4FA2-A90C-52C531DB10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1" name="image1.png">
          <a:extLst>
            <a:ext uri="{FF2B5EF4-FFF2-40B4-BE49-F238E27FC236}">
              <a16:creationId xmlns:a16="http://schemas.microsoft.com/office/drawing/2014/main" id="{9A218A73-34B1-48AA-9D3F-DF1103D561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2" name="image1.png">
          <a:extLst>
            <a:ext uri="{FF2B5EF4-FFF2-40B4-BE49-F238E27FC236}">
              <a16:creationId xmlns:a16="http://schemas.microsoft.com/office/drawing/2014/main" id="{EB85ED99-7056-4846-AB27-2904DF0461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3" name="image1.png">
          <a:extLst>
            <a:ext uri="{FF2B5EF4-FFF2-40B4-BE49-F238E27FC236}">
              <a16:creationId xmlns:a16="http://schemas.microsoft.com/office/drawing/2014/main" id="{D98969B9-CE82-44CE-AF68-51C2C25CB5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4" name="image1.png">
          <a:extLst>
            <a:ext uri="{FF2B5EF4-FFF2-40B4-BE49-F238E27FC236}">
              <a16:creationId xmlns:a16="http://schemas.microsoft.com/office/drawing/2014/main" id="{628256CE-75CC-4E96-BC3D-58A4AD96F1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5" name="image1.png">
          <a:extLst>
            <a:ext uri="{FF2B5EF4-FFF2-40B4-BE49-F238E27FC236}">
              <a16:creationId xmlns:a16="http://schemas.microsoft.com/office/drawing/2014/main" id="{57AD4ED4-5EFB-4952-9DAB-1AA24374B7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6" name="image1.png">
          <a:extLst>
            <a:ext uri="{FF2B5EF4-FFF2-40B4-BE49-F238E27FC236}">
              <a16:creationId xmlns:a16="http://schemas.microsoft.com/office/drawing/2014/main" id="{BCBBF115-5DB8-4BE4-970C-D23627C13D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7" name="image1.png">
          <a:extLst>
            <a:ext uri="{FF2B5EF4-FFF2-40B4-BE49-F238E27FC236}">
              <a16:creationId xmlns:a16="http://schemas.microsoft.com/office/drawing/2014/main" id="{EC881BFD-1BD1-40F6-BC83-80629BC677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8" name="image1.png">
          <a:extLst>
            <a:ext uri="{FF2B5EF4-FFF2-40B4-BE49-F238E27FC236}">
              <a16:creationId xmlns:a16="http://schemas.microsoft.com/office/drawing/2014/main" id="{830F6FA3-B168-4386-84E4-162E5DC289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29" name="image1.png">
          <a:extLst>
            <a:ext uri="{FF2B5EF4-FFF2-40B4-BE49-F238E27FC236}">
              <a16:creationId xmlns:a16="http://schemas.microsoft.com/office/drawing/2014/main" id="{160DD47D-F858-4FB2-93DE-5154C752FD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0" name="image1.png">
          <a:extLst>
            <a:ext uri="{FF2B5EF4-FFF2-40B4-BE49-F238E27FC236}">
              <a16:creationId xmlns:a16="http://schemas.microsoft.com/office/drawing/2014/main" id="{CBE3496B-9703-469F-BA90-8E4D92D12B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1" name="image1.png">
          <a:extLst>
            <a:ext uri="{FF2B5EF4-FFF2-40B4-BE49-F238E27FC236}">
              <a16:creationId xmlns:a16="http://schemas.microsoft.com/office/drawing/2014/main" id="{404CD829-EDF5-4404-A02E-6D469BAFC0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2" name="image1.png">
          <a:extLst>
            <a:ext uri="{FF2B5EF4-FFF2-40B4-BE49-F238E27FC236}">
              <a16:creationId xmlns:a16="http://schemas.microsoft.com/office/drawing/2014/main" id="{0E686E53-2AB5-4312-9DDE-7EB07F9520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3" name="image1.png">
          <a:extLst>
            <a:ext uri="{FF2B5EF4-FFF2-40B4-BE49-F238E27FC236}">
              <a16:creationId xmlns:a16="http://schemas.microsoft.com/office/drawing/2014/main" id="{D85CA8DB-F028-4FE1-A05E-49E65EED29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4" name="image1.png">
          <a:extLst>
            <a:ext uri="{FF2B5EF4-FFF2-40B4-BE49-F238E27FC236}">
              <a16:creationId xmlns:a16="http://schemas.microsoft.com/office/drawing/2014/main" id="{E3DD9C9D-D926-4AE8-A7CD-EA6934E1AA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5" name="image1.png">
          <a:extLst>
            <a:ext uri="{FF2B5EF4-FFF2-40B4-BE49-F238E27FC236}">
              <a16:creationId xmlns:a16="http://schemas.microsoft.com/office/drawing/2014/main" id="{3B21CA47-E2C0-428D-A625-7588E9BC3C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6" name="image1.png">
          <a:extLst>
            <a:ext uri="{FF2B5EF4-FFF2-40B4-BE49-F238E27FC236}">
              <a16:creationId xmlns:a16="http://schemas.microsoft.com/office/drawing/2014/main" id="{6F3DB4AF-1506-436F-8ED2-D869D93E00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7" name="image1.png">
          <a:extLst>
            <a:ext uri="{FF2B5EF4-FFF2-40B4-BE49-F238E27FC236}">
              <a16:creationId xmlns:a16="http://schemas.microsoft.com/office/drawing/2014/main" id="{84C51FB9-21E8-4F18-9B4A-61396C6A62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8" name="image1.png">
          <a:extLst>
            <a:ext uri="{FF2B5EF4-FFF2-40B4-BE49-F238E27FC236}">
              <a16:creationId xmlns:a16="http://schemas.microsoft.com/office/drawing/2014/main" id="{8DF1ACEB-31E6-4CF7-B665-5ABCDFFAD9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39" name="image1.png">
          <a:extLst>
            <a:ext uri="{FF2B5EF4-FFF2-40B4-BE49-F238E27FC236}">
              <a16:creationId xmlns:a16="http://schemas.microsoft.com/office/drawing/2014/main" id="{1D07CE92-72AF-469E-8B42-2F8F635523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0" name="image1.png">
          <a:extLst>
            <a:ext uri="{FF2B5EF4-FFF2-40B4-BE49-F238E27FC236}">
              <a16:creationId xmlns:a16="http://schemas.microsoft.com/office/drawing/2014/main" id="{BD8DBF77-C903-4753-80BC-761A7898E6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1" name="image1.png">
          <a:extLst>
            <a:ext uri="{FF2B5EF4-FFF2-40B4-BE49-F238E27FC236}">
              <a16:creationId xmlns:a16="http://schemas.microsoft.com/office/drawing/2014/main" id="{4A768957-6238-43E4-B803-CCD67E3600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2" name="image1.png">
          <a:extLst>
            <a:ext uri="{FF2B5EF4-FFF2-40B4-BE49-F238E27FC236}">
              <a16:creationId xmlns:a16="http://schemas.microsoft.com/office/drawing/2014/main" id="{5FB26D76-3834-46F9-90A6-B7D35D3EA6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3" name="image1.png">
          <a:extLst>
            <a:ext uri="{FF2B5EF4-FFF2-40B4-BE49-F238E27FC236}">
              <a16:creationId xmlns:a16="http://schemas.microsoft.com/office/drawing/2014/main" id="{787E1BE9-1B35-4F57-83D3-0086AA7D7A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4" name="image1.png">
          <a:extLst>
            <a:ext uri="{FF2B5EF4-FFF2-40B4-BE49-F238E27FC236}">
              <a16:creationId xmlns:a16="http://schemas.microsoft.com/office/drawing/2014/main" id="{B3B5FE47-5A01-417D-ABB3-9104B013A9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5" name="image1.png">
          <a:extLst>
            <a:ext uri="{FF2B5EF4-FFF2-40B4-BE49-F238E27FC236}">
              <a16:creationId xmlns:a16="http://schemas.microsoft.com/office/drawing/2014/main" id="{1F0E2308-B482-447C-93FC-499B1C166E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6" name="image1.png">
          <a:extLst>
            <a:ext uri="{FF2B5EF4-FFF2-40B4-BE49-F238E27FC236}">
              <a16:creationId xmlns:a16="http://schemas.microsoft.com/office/drawing/2014/main" id="{E6E803BA-3BAF-4F8C-B854-243A444820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7" name="image1.png">
          <a:extLst>
            <a:ext uri="{FF2B5EF4-FFF2-40B4-BE49-F238E27FC236}">
              <a16:creationId xmlns:a16="http://schemas.microsoft.com/office/drawing/2014/main" id="{C5E864F3-ED93-4C4F-8431-06EE04E122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8" name="image1.png">
          <a:extLst>
            <a:ext uri="{FF2B5EF4-FFF2-40B4-BE49-F238E27FC236}">
              <a16:creationId xmlns:a16="http://schemas.microsoft.com/office/drawing/2014/main" id="{23871827-DC4D-42C1-ACFC-6EB855C3D2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49" name="image1.png">
          <a:extLst>
            <a:ext uri="{FF2B5EF4-FFF2-40B4-BE49-F238E27FC236}">
              <a16:creationId xmlns:a16="http://schemas.microsoft.com/office/drawing/2014/main" id="{39004877-7239-4D68-82A1-A68D40DCA8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0" name="image1.png">
          <a:extLst>
            <a:ext uri="{FF2B5EF4-FFF2-40B4-BE49-F238E27FC236}">
              <a16:creationId xmlns:a16="http://schemas.microsoft.com/office/drawing/2014/main" id="{CE7C7016-8052-494D-B7F3-CBA48818B6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1" name="image1.png">
          <a:extLst>
            <a:ext uri="{FF2B5EF4-FFF2-40B4-BE49-F238E27FC236}">
              <a16:creationId xmlns:a16="http://schemas.microsoft.com/office/drawing/2014/main" id="{FDD73548-B01F-4B74-B01D-4384A97BF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2" name="image1.png">
          <a:extLst>
            <a:ext uri="{FF2B5EF4-FFF2-40B4-BE49-F238E27FC236}">
              <a16:creationId xmlns:a16="http://schemas.microsoft.com/office/drawing/2014/main" id="{1D0B89A8-DCC2-4DA2-8D41-30C0CD7086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3" name="image1.png">
          <a:extLst>
            <a:ext uri="{FF2B5EF4-FFF2-40B4-BE49-F238E27FC236}">
              <a16:creationId xmlns:a16="http://schemas.microsoft.com/office/drawing/2014/main" id="{E80D9F79-A4BC-4E05-96FA-47ED900967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4" name="image1.png">
          <a:extLst>
            <a:ext uri="{FF2B5EF4-FFF2-40B4-BE49-F238E27FC236}">
              <a16:creationId xmlns:a16="http://schemas.microsoft.com/office/drawing/2014/main" id="{BF2EAD90-41AA-40E8-ADFB-DA1444E20A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5" name="image1.png">
          <a:extLst>
            <a:ext uri="{FF2B5EF4-FFF2-40B4-BE49-F238E27FC236}">
              <a16:creationId xmlns:a16="http://schemas.microsoft.com/office/drawing/2014/main" id="{04FF461E-C129-4F3B-97CE-452AD5EC95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6" name="image1.png">
          <a:extLst>
            <a:ext uri="{FF2B5EF4-FFF2-40B4-BE49-F238E27FC236}">
              <a16:creationId xmlns:a16="http://schemas.microsoft.com/office/drawing/2014/main" id="{F20ED804-B7EB-42F9-9A69-F86E65D929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7" name="image1.png">
          <a:extLst>
            <a:ext uri="{FF2B5EF4-FFF2-40B4-BE49-F238E27FC236}">
              <a16:creationId xmlns:a16="http://schemas.microsoft.com/office/drawing/2014/main" id="{4264F8B1-0461-4013-8480-3B7E31784A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8" name="image1.png">
          <a:extLst>
            <a:ext uri="{FF2B5EF4-FFF2-40B4-BE49-F238E27FC236}">
              <a16:creationId xmlns:a16="http://schemas.microsoft.com/office/drawing/2014/main" id="{19EC49D1-A25F-458D-A10B-EF304884A2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59" name="image1.png">
          <a:extLst>
            <a:ext uri="{FF2B5EF4-FFF2-40B4-BE49-F238E27FC236}">
              <a16:creationId xmlns:a16="http://schemas.microsoft.com/office/drawing/2014/main" id="{893782E7-351B-4579-8D30-8A5F337743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0" name="image1.png">
          <a:extLst>
            <a:ext uri="{FF2B5EF4-FFF2-40B4-BE49-F238E27FC236}">
              <a16:creationId xmlns:a16="http://schemas.microsoft.com/office/drawing/2014/main" id="{AEF50740-70FC-45E4-A26B-51AFA63B20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1" name="image1.png">
          <a:extLst>
            <a:ext uri="{FF2B5EF4-FFF2-40B4-BE49-F238E27FC236}">
              <a16:creationId xmlns:a16="http://schemas.microsoft.com/office/drawing/2014/main" id="{389C2AA6-3CCF-4D1D-9D61-857E3DEE64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2" name="image1.png">
          <a:extLst>
            <a:ext uri="{FF2B5EF4-FFF2-40B4-BE49-F238E27FC236}">
              <a16:creationId xmlns:a16="http://schemas.microsoft.com/office/drawing/2014/main" id="{C998BDD6-A5C2-481F-A269-8A04AF7DEC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3" name="image1.png">
          <a:extLst>
            <a:ext uri="{FF2B5EF4-FFF2-40B4-BE49-F238E27FC236}">
              <a16:creationId xmlns:a16="http://schemas.microsoft.com/office/drawing/2014/main" id="{AE56E0E1-4864-47B0-BA55-FBA92B5ADB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4" name="image1.png">
          <a:extLst>
            <a:ext uri="{FF2B5EF4-FFF2-40B4-BE49-F238E27FC236}">
              <a16:creationId xmlns:a16="http://schemas.microsoft.com/office/drawing/2014/main" id="{F1902D54-FFB5-4A96-90DF-9056890201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5" name="image1.png">
          <a:extLst>
            <a:ext uri="{FF2B5EF4-FFF2-40B4-BE49-F238E27FC236}">
              <a16:creationId xmlns:a16="http://schemas.microsoft.com/office/drawing/2014/main" id="{C7396EEA-C4E0-4E4C-9A85-56966D0A1B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6" name="image1.png">
          <a:extLst>
            <a:ext uri="{FF2B5EF4-FFF2-40B4-BE49-F238E27FC236}">
              <a16:creationId xmlns:a16="http://schemas.microsoft.com/office/drawing/2014/main" id="{723E1EF3-7482-45B8-BBF4-9130C63BA4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7" name="image1.png">
          <a:extLst>
            <a:ext uri="{FF2B5EF4-FFF2-40B4-BE49-F238E27FC236}">
              <a16:creationId xmlns:a16="http://schemas.microsoft.com/office/drawing/2014/main" id="{388379A5-D5C3-41A3-86A7-A42E03C50D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8" name="image1.png">
          <a:extLst>
            <a:ext uri="{FF2B5EF4-FFF2-40B4-BE49-F238E27FC236}">
              <a16:creationId xmlns:a16="http://schemas.microsoft.com/office/drawing/2014/main" id="{3794A080-13EC-4927-AF1A-47324EAF9B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69" name="image1.png">
          <a:extLst>
            <a:ext uri="{FF2B5EF4-FFF2-40B4-BE49-F238E27FC236}">
              <a16:creationId xmlns:a16="http://schemas.microsoft.com/office/drawing/2014/main" id="{F66A0A16-21D6-4706-BA95-E6D1482765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0" name="image1.png">
          <a:extLst>
            <a:ext uri="{FF2B5EF4-FFF2-40B4-BE49-F238E27FC236}">
              <a16:creationId xmlns:a16="http://schemas.microsoft.com/office/drawing/2014/main" id="{C4FC3A36-57C0-48A3-A011-472F285BB0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1" name="image1.png">
          <a:extLst>
            <a:ext uri="{FF2B5EF4-FFF2-40B4-BE49-F238E27FC236}">
              <a16:creationId xmlns:a16="http://schemas.microsoft.com/office/drawing/2014/main" id="{01A73139-C685-4C14-B2E7-A1AC7DC417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2" name="image1.png">
          <a:extLst>
            <a:ext uri="{FF2B5EF4-FFF2-40B4-BE49-F238E27FC236}">
              <a16:creationId xmlns:a16="http://schemas.microsoft.com/office/drawing/2014/main" id="{2224CE02-2931-43A9-95E2-7110A19728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3" name="image1.png">
          <a:extLst>
            <a:ext uri="{FF2B5EF4-FFF2-40B4-BE49-F238E27FC236}">
              <a16:creationId xmlns:a16="http://schemas.microsoft.com/office/drawing/2014/main" id="{53D36B62-7769-4C7A-8594-91D5C9827D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4" name="image1.png">
          <a:extLst>
            <a:ext uri="{FF2B5EF4-FFF2-40B4-BE49-F238E27FC236}">
              <a16:creationId xmlns:a16="http://schemas.microsoft.com/office/drawing/2014/main" id="{71778ADB-3FD3-444D-8384-C4E9D04457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5" name="image1.png">
          <a:extLst>
            <a:ext uri="{FF2B5EF4-FFF2-40B4-BE49-F238E27FC236}">
              <a16:creationId xmlns:a16="http://schemas.microsoft.com/office/drawing/2014/main" id="{14F811D3-7C7A-49AF-A3F9-7D49DEF4F9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6" name="image1.png">
          <a:extLst>
            <a:ext uri="{FF2B5EF4-FFF2-40B4-BE49-F238E27FC236}">
              <a16:creationId xmlns:a16="http://schemas.microsoft.com/office/drawing/2014/main" id="{40F44B47-CBCC-42AB-A7DC-22A100130A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7" name="image1.png">
          <a:extLst>
            <a:ext uri="{FF2B5EF4-FFF2-40B4-BE49-F238E27FC236}">
              <a16:creationId xmlns:a16="http://schemas.microsoft.com/office/drawing/2014/main" id="{E6761941-A166-4D15-81D3-FA6774BF32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8" name="image1.png">
          <a:extLst>
            <a:ext uri="{FF2B5EF4-FFF2-40B4-BE49-F238E27FC236}">
              <a16:creationId xmlns:a16="http://schemas.microsoft.com/office/drawing/2014/main" id="{65B5C865-9216-4C3B-B7C5-69E2491713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79" name="image1.png">
          <a:extLst>
            <a:ext uri="{FF2B5EF4-FFF2-40B4-BE49-F238E27FC236}">
              <a16:creationId xmlns:a16="http://schemas.microsoft.com/office/drawing/2014/main" id="{4D57DBC4-7BBB-4035-96B0-153DEBF849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0" name="image1.png">
          <a:extLst>
            <a:ext uri="{FF2B5EF4-FFF2-40B4-BE49-F238E27FC236}">
              <a16:creationId xmlns:a16="http://schemas.microsoft.com/office/drawing/2014/main" id="{83D63D97-6875-4016-AEFD-D2D896575C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1" name="image1.png">
          <a:extLst>
            <a:ext uri="{FF2B5EF4-FFF2-40B4-BE49-F238E27FC236}">
              <a16:creationId xmlns:a16="http://schemas.microsoft.com/office/drawing/2014/main" id="{BA0980A2-6B57-455C-BB21-E77595EED6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2" name="image1.png">
          <a:extLst>
            <a:ext uri="{FF2B5EF4-FFF2-40B4-BE49-F238E27FC236}">
              <a16:creationId xmlns:a16="http://schemas.microsoft.com/office/drawing/2014/main" id="{5B259E0A-0902-4236-9455-5E151CDED4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3" name="image1.png">
          <a:extLst>
            <a:ext uri="{FF2B5EF4-FFF2-40B4-BE49-F238E27FC236}">
              <a16:creationId xmlns:a16="http://schemas.microsoft.com/office/drawing/2014/main" id="{8D775172-BC84-4DCF-86C6-BCFF92731E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4" name="image1.png">
          <a:extLst>
            <a:ext uri="{FF2B5EF4-FFF2-40B4-BE49-F238E27FC236}">
              <a16:creationId xmlns:a16="http://schemas.microsoft.com/office/drawing/2014/main" id="{5B269A25-1AB9-4E4C-BD4D-2DCF53E540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5" name="image1.png">
          <a:extLst>
            <a:ext uri="{FF2B5EF4-FFF2-40B4-BE49-F238E27FC236}">
              <a16:creationId xmlns:a16="http://schemas.microsoft.com/office/drawing/2014/main" id="{AE25F36E-4F81-4DC2-BF90-82AD7E8084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6" name="image1.png">
          <a:extLst>
            <a:ext uri="{FF2B5EF4-FFF2-40B4-BE49-F238E27FC236}">
              <a16:creationId xmlns:a16="http://schemas.microsoft.com/office/drawing/2014/main" id="{18CE96C3-0089-4180-861F-1C7058E29E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7" name="image1.png">
          <a:extLst>
            <a:ext uri="{FF2B5EF4-FFF2-40B4-BE49-F238E27FC236}">
              <a16:creationId xmlns:a16="http://schemas.microsoft.com/office/drawing/2014/main" id="{F602B92F-3128-42BA-B7CE-1DC92117A5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8" name="image1.png">
          <a:extLst>
            <a:ext uri="{FF2B5EF4-FFF2-40B4-BE49-F238E27FC236}">
              <a16:creationId xmlns:a16="http://schemas.microsoft.com/office/drawing/2014/main" id="{A6E0B163-8CEA-43DE-8A3B-F53B10956F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89" name="image1.png">
          <a:extLst>
            <a:ext uri="{FF2B5EF4-FFF2-40B4-BE49-F238E27FC236}">
              <a16:creationId xmlns:a16="http://schemas.microsoft.com/office/drawing/2014/main" id="{65ECAC25-7FEB-4AC0-8F95-A02D974AB7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0" name="image1.png">
          <a:extLst>
            <a:ext uri="{FF2B5EF4-FFF2-40B4-BE49-F238E27FC236}">
              <a16:creationId xmlns:a16="http://schemas.microsoft.com/office/drawing/2014/main" id="{C9CE1054-E364-411D-B061-C4147DE231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1" name="image1.png">
          <a:extLst>
            <a:ext uri="{FF2B5EF4-FFF2-40B4-BE49-F238E27FC236}">
              <a16:creationId xmlns:a16="http://schemas.microsoft.com/office/drawing/2014/main" id="{A586418C-9D86-48A5-AEFE-B1765F60FF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2" name="image1.png">
          <a:extLst>
            <a:ext uri="{FF2B5EF4-FFF2-40B4-BE49-F238E27FC236}">
              <a16:creationId xmlns:a16="http://schemas.microsoft.com/office/drawing/2014/main" id="{F543C452-432D-4FCF-9779-A7EF23DF07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3" name="image1.png">
          <a:extLst>
            <a:ext uri="{FF2B5EF4-FFF2-40B4-BE49-F238E27FC236}">
              <a16:creationId xmlns:a16="http://schemas.microsoft.com/office/drawing/2014/main" id="{7BDC5AC4-27EB-4E69-AD14-BC63D7DC30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4" name="image1.png">
          <a:extLst>
            <a:ext uri="{FF2B5EF4-FFF2-40B4-BE49-F238E27FC236}">
              <a16:creationId xmlns:a16="http://schemas.microsoft.com/office/drawing/2014/main" id="{0457EA54-C97B-4A5F-BC65-0433396092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5" name="image1.png">
          <a:extLst>
            <a:ext uri="{FF2B5EF4-FFF2-40B4-BE49-F238E27FC236}">
              <a16:creationId xmlns:a16="http://schemas.microsoft.com/office/drawing/2014/main" id="{5C2C743C-19AE-4049-B386-7242EDF3B6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6" name="image1.png">
          <a:extLst>
            <a:ext uri="{FF2B5EF4-FFF2-40B4-BE49-F238E27FC236}">
              <a16:creationId xmlns:a16="http://schemas.microsoft.com/office/drawing/2014/main" id="{D81A36B3-0749-49EC-812E-5BE54F31FD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7" name="image1.png">
          <a:extLst>
            <a:ext uri="{FF2B5EF4-FFF2-40B4-BE49-F238E27FC236}">
              <a16:creationId xmlns:a16="http://schemas.microsoft.com/office/drawing/2014/main" id="{341AE3A0-D35C-4C9A-B8DC-EE63E0722A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8" name="image1.png">
          <a:extLst>
            <a:ext uri="{FF2B5EF4-FFF2-40B4-BE49-F238E27FC236}">
              <a16:creationId xmlns:a16="http://schemas.microsoft.com/office/drawing/2014/main" id="{A8D1BE98-8DFD-46F8-9801-85D41868FB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299" name="image1.png">
          <a:extLst>
            <a:ext uri="{FF2B5EF4-FFF2-40B4-BE49-F238E27FC236}">
              <a16:creationId xmlns:a16="http://schemas.microsoft.com/office/drawing/2014/main" id="{8E228579-1D87-4F50-88E7-3DF747A1FA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0" name="image1.png">
          <a:extLst>
            <a:ext uri="{FF2B5EF4-FFF2-40B4-BE49-F238E27FC236}">
              <a16:creationId xmlns:a16="http://schemas.microsoft.com/office/drawing/2014/main" id="{BDE234B1-7741-49EE-9DC0-ABA466725C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1" name="image1.png">
          <a:extLst>
            <a:ext uri="{FF2B5EF4-FFF2-40B4-BE49-F238E27FC236}">
              <a16:creationId xmlns:a16="http://schemas.microsoft.com/office/drawing/2014/main" id="{C0135E1D-1FA7-4E08-B872-EFEB7111D5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2" name="image1.png">
          <a:extLst>
            <a:ext uri="{FF2B5EF4-FFF2-40B4-BE49-F238E27FC236}">
              <a16:creationId xmlns:a16="http://schemas.microsoft.com/office/drawing/2014/main" id="{B034268F-97DD-45EE-9E7A-EC56B77C4A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3" name="image1.png">
          <a:extLst>
            <a:ext uri="{FF2B5EF4-FFF2-40B4-BE49-F238E27FC236}">
              <a16:creationId xmlns:a16="http://schemas.microsoft.com/office/drawing/2014/main" id="{E81000AF-906D-4872-BE13-1F400C3DD4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4" name="image1.png">
          <a:extLst>
            <a:ext uri="{FF2B5EF4-FFF2-40B4-BE49-F238E27FC236}">
              <a16:creationId xmlns:a16="http://schemas.microsoft.com/office/drawing/2014/main" id="{D2DCC584-31D8-4D33-9EE8-602AC5C559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5" name="image1.png">
          <a:extLst>
            <a:ext uri="{FF2B5EF4-FFF2-40B4-BE49-F238E27FC236}">
              <a16:creationId xmlns:a16="http://schemas.microsoft.com/office/drawing/2014/main" id="{CDB9AAFB-B40A-4862-9018-FBC76E170E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6" name="image1.png">
          <a:extLst>
            <a:ext uri="{FF2B5EF4-FFF2-40B4-BE49-F238E27FC236}">
              <a16:creationId xmlns:a16="http://schemas.microsoft.com/office/drawing/2014/main" id="{968CB33F-37A2-45EF-BE06-3D0AB31522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7" name="image1.png">
          <a:extLst>
            <a:ext uri="{FF2B5EF4-FFF2-40B4-BE49-F238E27FC236}">
              <a16:creationId xmlns:a16="http://schemas.microsoft.com/office/drawing/2014/main" id="{1E02715F-2D1B-4BE1-ACCF-195B22E767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8" name="image1.png">
          <a:extLst>
            <a:ext uri="{FF2B5EF4-FFF2-40B4-BE49-F238E27FC236}">
              <a16:creationId xmlns:a16="http://schemas.microsoft.com/office/drawing/2014/main" id="{1FE09FF4-33E6-4B91-B0E4-A8C7AE9BC4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09" name="image1.png">
          <a:extLst>
            <a:ext uri="{FF2B5EF4-FFF2-40B4-BE49-F238E27FC236}">
              <a16:creationId xmlns:a16="http://schemas.microsoft.com/office/drawing/2014/main" id="{E4A2D02D-D72C-4DE0-9058-AE55129FCE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0" name="image1.png">
          <a:extLst>
            <a:ext uri="{FF2B5EF4-FFF2-40B4-BE49-F238E27FC236}">
              <a16:creationId xmlns:a16="http://schemas.microsoft.com/office/drawing/2014/main" id="{89AC1C05-211C-4FC9-85A0-92C12CCE96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1" name="image1.png">
          <a:extLst>
            <a:ext uri="{FF2B5EF4-FFF2-40B4-BE49-F238E27FC236}">
              <a16:creationId xmlns:a16="http://schemas.microsoft.com/office/drawing/2014/main" id="{80F8BB19-1B91-41B8-8970-28ECF8A240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2" name="image1.png">
          <a:extLst>
            <a:ext uri="{FF2B5EF4-FFF2-40B4-BE49-F238E27FC236}">
              <a16:creationId xmlns:a16="http://schemas.microsoft.com/office/drawing/2014/main" id="{C102FD20-1691-434C-A277-59740B406C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3" name="image1.png">
          <a:extLst>
            <a:ext uri="{FF2B5EF4-FFF2-40B4-BE49-F238E27FC236}">
              <a16:creationId xmlns:a16="http://schemas.microsoft.com/office/drawing/2014/main" id="{6758BEA4-EB63-4A98-9526-7BF2CCD33D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4" name="image1.png">
          <a:extLst>
            <a:ext uri="{FF2B5EF4-FFF2-40B4-BE49-F238E27FC236}">
              <a16:creationId xmlns:a16="http://schemas.microsoft.com/office/drawing/2014/main" id="{30F876D1-982C-4FB0-9DC6-3D9BFF64E9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5" name="image1.png">
          <a:extLst>
            <a:ext uri="{FF2B5EF4-FFF2-40B4-BE49-F238E27FC236}">
              <a16:creationId xmlns:a16="http://schemas.microsoft.com/office/drawing/2014/main" id="{B15A7082-9C09-4C85-A301-3994D31F9A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6" name="image1.png">
          <a:extLst>
            <a:ext uri="{FF2B5EF4-FFF2-40B4-BE49-F238E27FC236}">
              <a16:creationId xmlns:a16="http://schemas.microsoft.com/office/drawing/2014/main" id="{D7BA97E5-3454-46D1-B6CB-E24AC1E149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7" name="image1.png">
          <a:extLst>
            <a:ext uri="{FF2B5EF4-FFF2-40B4-BE49-F238E27FC236}">
              <a16:creationId xmlns:a16="http://schemas.microsoft.com/office/drawing/2014/main" id="{D3A3E7EC-6F03-4533-B376-3EE93946D7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8" name="image1.png">
          <a:extLst>
            <a:ext uri="{FF2B5EF4-FFF2-40B4-BE49-F238E27FC236}">
              <a16:creationId xmlns:a16="http://schemas.microsoft.com/office/drawing/2014/main" id="{1C7E7A0E-CE51-47B2-8D81-21B863F703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19" name="image1.png">
          <a:extLst>
            <a:ext uri="{FF2B5EF4-FFF2-40B4-BE49-F238E27FC236}">
              <a16:creationId xmlns:a16="http://schemas.microsoft.com/office/drawing/2014/main" id="{8337CB2E-A34D-4117-9061-151C256C2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0" name="image1.png">
          <a:extLst>
            <a:ext uri="{FF2B5EF4-FFF2-40B4-BE49-F238E27FC236}">
              <a16:creationId xmlns:a16="http://schemas.microsoft.com/office/drawing/2014/main" id="{A6F36C25-8C09-4CD7-A10C-2A5A48EB40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1" name="image1.png">
          <a:extLst>
            <a:ext uri="{FF2B5EF4-FFF2-40B4-BE49-F238E27FC236}">
              <a16:creationId xmlns:a16="http://schemas.microsoft.com/office/drawing/2014/main" id="{49FF49B8-B7B6-4015-9333-8FBEE7DFAC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2" name="image1.png">
          <a:extLst>
            <a:ext uri="{FF2B5EF4-FFF2-40B4-BE49-F238E27FC236}">
              <a16:creationId xmlns:a16="http://schemas.microsoft.com/office/drawing/2014/main" id="{2A727144-18DC-429C-8093-4304F81BED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3" name="image1.png">
          <a:extLst>
            <a:ext uri="{FF2B5EF4-FFF2-40B4-BE49-F238E27FC236}">
              <a16:creationId xmlns:a16="http://schemas.microsoft.com/office/drawing/2014/main" id="{EF29871B-DD19-4B7F-97E2-7DA2D8373E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4" name="image1.png">
          <a:extLst>
            <a:ext uri="{FF2B5EF4-FFF2-40B4-BE49-F238E27FC236}">
              <a16:creationId xmlns:a16="http://schemas.microsoft.com/office/drawing/2014/main" id="{9B0CFFCD-8B48-4EB2-8D82-52AA3C8FC3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5" name="image1.png">
          <a:extLst>
            <a:ext uri="{FF2B5EF4-FFF2-40B4-BE49-F238E27FC236}">
              <a16:creationId xmlns:a16="http://schemas.microsoft.com/office/drawing/2014/main" id="{01AA1C99-E361-4698-A08B-06CF6ECBD2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6" name="image1.png">
          <a:extLst>
            <a:ext uri="{FF2B5EF4-FFF2-40B4-BE49-F238E27FC236}">
              <a16:creationId xmlns:a16="http://schemas.microsoft.com/office/drawing/2014/main" id="{C5BD59ED-43CE-4570-A996-73E4C57FBA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7" name="image1.png">
          <a:extLst>
            <a:ext uri="{FF2B5EF4-FFF2-40B4-BE49-F238E27FC236}">
              <a16:creationId xmlns:a16="http://schemas.microsoft.com/office/drawing/2014/main" id="{661C0510-F424-4381-B009-5C48BA160B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8" name="image1.png">
          <a:extLst>
            <a:ext uri="{FF2B5EF4-FFF2-40B4-BE49-F238E27FC236}">
              <a16:creationId xmlns:a16="http://schemas.microsoft.com/office/drawing/2014/main" id="{8F6352A8-4B8F-408B-843A-3BCEB8A3B6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29" name="image1.png">
          <a:extLst>
            <a:ext uri="{FF2B5EF4-FFF2-40B4-BE49-F238E27FC236}">
              <a16:creationId xmlns:a16="http://schemas.microsoft.com/office/drawing/2014/main" id="{222D45CD-500D-401B-9002-5D479051E8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0" name="image1.png">
          <a:extLst>
            <a:ext uri="{FF2B5EF4-FFF2-40B4-BE49-F238E27FC236}">
              <a16:creationId xmlns:a16="http://schemas.microsoft.com/office/drawing/2014/main" id="{223D7564-EA11-4108-AA70-2941212C0B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1" name="image1.png">
          <a:extLst>
            <a:ext uri="{FF2B5EF4-FFF2-40B4-BE49-F238E27FC236}">
              <a16:creationId xmlns:a16="http://schemas.microsoft.com/office/drawing/2014/main" id="{3EEB5FEB-B158-4E56-B545-D3B1826855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2" name="image1.png">
          <a:extLst>
            <a:ext uri="{FF2B5EF4-FFF2-40B4-BE49-F238E27FC236}">
              <a16:creationId xmlns:a16="http://schemas.microsoft.com/office/drawing/2014/main" id="{24D4C31A-EDA0-4FC5-AC70-C107D68287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3" name="image1.png">
          <a:extLst>
            <a:ext uri="{FF2B5EF4-FFF2-40B4-BE49-F238E27FC236}">
              <a16:creationId xmlns:a16="http://schemas.microsoft.com/office/drawing/2014/main" id="{AFC068C1-3A74-41F7-BF45-525C815EFE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4" name="image1.png">
          <a:extLst>
            <a:ext uri="{FF2B5EF4-FFF2-40B4-BE49-F238E27FC236}">
              <a16:creationId xmlns:a16="http://schemas.microsoft.com/office/drawing/2014/main" id="{0236B990-DEEF-4ACC-9521-F4ABECACF0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5" name="image1.png">
          <a:extLst>
            <a:ext uri="{FF2B5EF4-FFF2-40B4-BE49-F238E27FC236}">
              <a16:creationId xmlns:a16="http://schemas.microsoft.com/office/drawing/2014/main" id="{A8B4EBF9-D4C5-47CA-805E-D06387127A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6" name="image1.png">
          <a:extLst>
            <a:ext uri="{FF2B5EF4-FFF2-40B4-BE49-F238E27FC236}">
              <a16:creationId xmlns:a16="http://schemas.microsoft.com/office/drawing/2014/main" id="{DB6AFAB3-46E9-401E-A409-1293FE4415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7" name="image1.png">
          <a:extLst>
            <a:ext uri="{FF2B5EF4-FFF2-40B4-BE49-F238E27FC236}">
              <a16:creationId xmlns:a16="http://schemas.microsoft.com/office/drawing/2014/main" id="{06502ED6-AEDD-477A-9AF9-20B0D7226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8" name="image1.png">
          <a:extLst>
            <a:ext uri="{FF2B5EF4-FFF2-40B4-BE49-F238E27FC236}">
              <a16:creationId xmlns:a16="http://schemas.microsoft.com/office/drawing/2014/main" id="{179E25BB-7606-43CD-9604-3D7AFA1459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39" name="image1.png">
          <a:extLst>
            <a:ext uri="{FF2B5EF4-FFF2-40B4-BE49-F238E27FC236}">
              <a16:creationId xmlns:a16="http://schemas.microsoft.com/office/drawing/2014/main" id="{7EBB8A64-3C55-4721-9DEC-3B0D8D7A53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0" name="image1.png">
          <a:extLst>
            <a:ext uri="{FF2B5EF4-FFF2-40B4-BE49-F238E27FC236}">
              <a16:creationId xmlns:a16="http://schemas.microsoft.com/office/drawing/2014/main" id="{97633C3D-C660-4426-AF8E-BAA301DD9E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1" name="image1.png">
          <a:extLst>
            <a:ext uri="{FF2B5EF4-FFF2-40B4-BE49-F238E27FC236}">
              <a16:creationId xmlns:a16="http://schemas.microsoft.com/office/drawing/2014/main" id="{3F2D71E8-60B3-4E33-9D7F-ACEC5C938F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2" name="image1.png">
          <a:extLst>
            <a:ext uri="{FF2B5EF4-FFF2-40B4-BE49-F238E27FC236}">
              <a16:creationId xmlns:a16="http://schemas.microsoft.com/office/drawing/2014/main" id="{14C8BFD5-EBE2-4D7C-A43E-86D144C351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3" name="image1.png">
          <a:extLst>
            <a:ext uri="{FF2B5EF4-FFF2-40B4-BE49-F238E27FC236}">
              <a16:creationId xmlns:a16="http://schemas.microsoft.com/office/drawing/2014/main" id="{8B057CA2-FA17-4BDD-A027-7D84E2BD29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4" name="image1.png">
          <a:extLst>
            <a:ext uri="{FF2B5EF4-FFF2-40B4-BE49-F238E27FC236}">
              <a16:creationId xmlns:a16="http://schemas.microsoft.com/office/drawing/2014/main" id="{B4F79562-F1B7-4E5E-B79F-18127A47F4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5" name="image1.png">
          <a:extLst>
            <a:ext uri="{FF2B5EF4-FFF2-40B4-BE49-F238E27FC236}">
              <a16:creationId xmlns:a16="http://schemas.microsoft.com/office/drawing/2014/main" id="{33B6FC28-BB00-4C83-B2E2-1EE6749359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6" name="image1.png">
          <a:extLst>
            <a:ext uri="{FF2B5EF4-FFF2-40B4-BE49-F238E27FC236}">
              <a16:creationId xmlns:a16="http://schemas.microsoft.com/office/drawing/2014/main" id="{2090E505-BEDE-49EB-9D22-8C669DEBC5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7" name="image1.png">
          <a:extLst>
            <a:ext uri="{FF2B5EF4-FFF2-40B4-BE49-F238E27FC236}">
              <a16:creationId xmlns:a16="http://schemas.microsoft.com/office/drawing/2014/main" id="{3CB25F78-61C8-4F5F-84FA-87D17F5B2D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8" name="image1.png">
          <a:extLst>
            <a:ext uri="{FF2B5EF4-FFF2-40B4-BE49-F238E27FC236}">
              <a16:creationId xmlns:a16="http://schemas.microsoft.com/office/drawing/2014/main" id="{555A1198-A1A4-4A6D-B8E8-614F9674C4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49" name="image1.png">
          <a:extLst>
            <a:ext uri="{FF2B5EF4-FFF2-40B4-BE49-F238E27FC236}">
              <a16:creationId xmlns:a16="http://schemas.microsoft.com/office/drawing/2014/main" id="{10C2751E-14DF-453B-BF31-CCEB24E323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0" name="image1.png">
          <a:extLst>
            <a:ext uri="{FF2B5EF4-FFF2-40B4-BE49-F238E27FC236}">
              <a16:creationId xmlns:a16="http://schemas.microsoft.com/office/drawing/2014/main" id="{57139427-61A4-46CF-9309-CE723FF4C0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1" name="image1.png">
          <a:extLst>
            <a:ext uri="{FF2B5EF4-FFF2-40B4-BE49-F238E27FC236}">
              <a16:creationId xmlns:a16="http://schemas.microsoft.com/office/drawing/2014/main" id="{7755A23F-043E-4433-B944-79237C4993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2" name="image1.png">
          <a:extLst>
            <a:ext uri="{FF2B5EF4-FFF2-40B4-BE49-F238E27FC236}">
              <a16:creationId xmlns:a16="http://schemas.microsoft.com/office/drawing/2014/main" id="{A9ADBE45-1C10-4731-94FE-97B42F45BC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3" name="image1.png">
          <a:extLst>
            <a:ext uri="{FF2B5EF4-FFF2-40B4-BE49-F238E27FC236}">
              <a16:creationId xmlns:a16="http://schemas.microsoft.com/office/drawing/2014/main" id="{33F8EB92-DFE0-40F4-8FF5-766591D6DB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4" name="image1.png">
          <a:extLst>
            <a:ext uri="{FF2B5EF4-FFF2-40B4-BE49-F238E27FC236}">
              <a16:creationId xmlns:a16="http://schemas.microsoft.com/office/drawing/2014/main" id="{77F30EA2-02A5-4E0F-B9A6-1FBCB335CD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5" name="image1.png">
          <a:extLst>
            <a:ext uri="{FF2B5EF4-FFF2-40B4-BE49-F238E27FC236}">
              <a16:creationId xmlns:a16="http://schemas.microsoft.com/office/drawing/2014/main" id="{70D5701A-CAC1-4EDC-9DCE-A2D5DB35C8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6" name="image1.png">
          <a:extLst>
            <a:ext uri="{FF2B5EF4-FFF2-40B4-BE49-F238E27FC236}">
              <a16:creationId xmlns:a16="http://schemas.microsoft.com/office/drawing/2014/main" id="{90A411A8-123C-47E4-870D-7959E871ED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7" name="image1.png">
          <a:extLst>
            <a:ext uri="{FF2B5EF4-FFF2-40B4-BE49-F238E27FC236}">
              <a16:creationId xmlns:a16="http://schemas.microsoft.com/office/drawing/2014/main" id="{3BFA4B82-675E-4BD5-8EEB-2896E66512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8" name="image1.png">
          <a:extLst>
            <a:ext uri="{FF2B5EF4-FFF2-40B4-BE49-F238E27FC236}">
              <a16:creationId xmlns:a16="http://schemas.microsoft.com/office/drawing/2014/main" id="{40878B62-1A4B-4A76-8097-1BA1F57631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59" name="image1.png">
          <a:extLst>
            <a:ext uri="{FF2B5EF4-FFF2-40B4-BE49-F238E27FC236}">
              <a16:creationId xmlns:a16="http://schemas.microsoft.com/office/drawing/2014/main" id="{EFBAF1BE-DD3C-441F-9172-B8F67F99D3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0" name="image1.png">
          <a:extLst>
            <a:ext uri="{FF2B5EF4-FFF2-40B4-BE49-F238E27FC236}">
              <a16:creationId xmlns:a16="http://schemas.microsoft.com/office/drawing/2014/main" id="{C9B5CB30-8077-40AA-9DA7-41738651D5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1" name="image1.png">
          <a:extLst>
            <a:ext uri="{FF2B5EF4-FFF2-40B4-BE49-F238E27FC236}">
              <a16:creationId xmlns:a16="http://schemas.microsoft.com/office/drawing/2014/main" id="{D960CE70-C1C5-45C8-AF6A-30209D6083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2" name="image1.png">
          <a:extLst>
            <a:ext uri="{FF2B5EF4-FFF2-40B4-BE49-F238E27FC236}">
              <a16:creationId xmlns:a16="http://schemas.microsoft.com/office/drawing/2014/main" id="{1FA2DFE0-B633-4CAF-8EB6-EC3EBBD995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3" name="image1.png">
          <a:extLst>
            <a:ext uri="{FF2B5EF4-FFF2-40B4-BE49-F238E27FC236}">
              <a16:creationId xmlns:a16="http://schemas.microsoft.com/office/drawing/2014/main" id="{AC7E9E03-BE3D-4F75-8925-FC5CABAC62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4" name="image1.png">
          <a:extLst>
            <a:ext uri="{FF2B5EF4-FFF2-40B4-BE49-F238E27FC236}">
              <a16:creationId xmlns:a16="http://schemas.microsoft.com/office/drawing/2014/main" id="{0FC3636D-13BA-49F3-9B2B-E4E25EF007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5" name="image1.png">
          <a:extLst>
            <a:ext uri="{FF2B5EF4-FFF2-40B4-BE49-F238E27FC236}">
              <a16:creationId xmlns:a16="http://schemas.microsoft.com/office/drawing/2014/main" id="{977878E0-6682-414B-8A91-0758B120AB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6" name="image1.png">
          <a:extLst>
            <a:ext uri="{FF2B5EF4-FFF2-40B4-BE49-F238E27FC236}">
              <a16:creationId xmlns:a16="http://schemas.microsoft.com/office/drawing/2014/main" id="{22BA885E-B482-48BF-8537-C89B8EF149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7" name="image1.png">
          <a:extLst>
            <a:ext uri="{FF2B5EF4-FFF2-40B4-BE49-F238E27FC236}">
              <a16:creationId xmlns:a16="http://schemas.microsoft.com/office/drawing/2014/main" id="{3D204EB0-6F53-4C57-BF6E-3BAAC906F4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8" name="image1.png">
          <a:extLst>
            <a:ext uri="{FF2B5EF4-FFF2-40B4-BE49-F238E27FC236}">
              <a16:creationId xmlns:a16="http://schemas.microsoft.com/office/drawing/2014/main" id="{70BA3C0F-DED3-44A2-8734-3411B71C72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69" name="image1.png">
          <a:extLst>
            <a:ext uri="{FF2B5EF4-FFF2-40B4-BE49-F238E27FC236}">
              <a16:creationId xmlns:a16="http://schemas.microsoft.com/office/drawing/2014/main" id="{4C693889-552A-4F2B-8992-D769D01EC8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0" name="image1.png">
          <a:extLst>
            <a:ext uri="{FF2B5EF4-FFF2-40B4-BE49-F238E27FC236}">
              <a16:creationId xmlns:a16="http://schemas.microsoft.com/office/drawing/2014/main" id="{3ABB68FB-5E9E-4F83-B9B0-72A8DE8C9A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1" name="image1.png">
          <a:extLst>
            <a:ext uri="{FF2B5EF4-FFF2-40B4-BE49-F238E27FC236}">
              <a16:creationId xmlns:a16="http://schemas.microsoft.com/office/drawing/2014/main" id="{0C060109-483A-4BEB-88DE-A3070E3C67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2" name="image1.png">
          <a:extLst>
            <a:ext uri="{FF2B5EF4-FFF2-40B4-BE49-F238E27FC236}">
              <a16:creationId xmlns:a16="http://schemas.microsoft.com/office/drawing/2014/main" id="{AB47D5CA-E477-4AAB-89EF-ADC6DF608F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3" name="image1.png">
          <a:extLst>
            <a:ext uri="{FF2B5EF4-FFF2-40B4-BE49-F238E27FC236}">
              <a16:creationId xmlns:a16="http://schemas.microsoft.com/office/drawing/2014/main" id="{9B87DF13-BD15-483A-A344-A3A48A2062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4" name="image1.png">
          <a:extLst>
            <a:ext uri="{FF2B5EF4-FFF2-40B4-BE49-F238E27FC236}">
              <a16:creationId xmlns:a16="http://schemas.microsoft.com/office/drawing/2014/main" id="{557AA77C-6526-41CB-96F5-3B90408455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5" name="image1.png">
          <a:extLst>
            <a:ext uri="{FF2B5EF4-FFF2-40B4-BE49-F238E27FC236}">
              <a16:creationId xmlns:a16="http://schemas.microsoft.com/office/drawing/2014/main" id="{74126362-5735-4134-BCCA-85FFA1FD6C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6" name="image1.png">
          <a:extLst>
            <a:ext uri="{FF2B5EF4-FFF2-40B4-BE49-F238E27FC236}">
              <a16:creationId xmlns:a16="http://schemas.microsoft.com/office/drawing/2014/main" id="{2544FAD6-72C5-4E03-B5C6-FDD6A29021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7" name="image1.png">
          <a:extLst>
            <a:ext uri="{FF2B5EF4-FFF2-40B4-BE49-F238E27FC236}">
              <a16:creationId xmlns:a16="http://schemas.microsoft.com/office/drawing/2014/main" id="{1EA968C9-55EB-4504-B5D1-E155CE1B04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8" name="image1.png">
          <a:extLst>
            <a:ext uri="{FF2B5EF4-FFF2-40B4-BE49-F238E27FC236}">
              <a16:creationId xmlns:a16="http://schemas.microsoft.com/office/drawing/2014/main" id="{9C78395B-A362-468B-8AE9-6A728823E5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79" name="image1.png">
          <a:extLst>
            <a:ext uri="{FF2B5EF4-FFF2-40B4-BE49-F238E27FC236}">
              <a16:creationId xmlns:a16="http://schemas.microsoft.com/office/drawing/2014/main" id="{70EA12B3-F9CE-4F22-B0F6-DEA472DBB7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0" name="image1.png">
          <a:extLst>
            <a:ext uri="{FF2B5EF4-FFF2-40B4-BE49-F238E27FC236}">
              <a16:creationId xmlns:a16="http://schemas.microsoft.com/office/drawing/2014/main" id="{BC38A05E-09B1-4B85-B438-2435AE186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1" name="image1.png">
          <a:extLst>
            <a:ext uri="{FF2B5EF4-FFF2-40B4-BE49-F238E27FC236}">
              <a16:creationId xmlns:a16="http://schemas.microsoft.com/office/drawing/2014/main" id="{EF6B727E-1091-48A2-9659-3D7D1D7B9C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2" name="image1.png">
          <a:extLst>
            <a:ext uri="{FF2B5EF4-FFF2-40B4-BE49-F238E27FC236}">
              <a16:creationId xmlns:a16="http://schemas.microsoft.com/office/drawing/2014/main" id="{45D668DB-A668-4DC3-9E31-8B403DFB09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3" name="image1.png">
          <a:extLst>
            <a:ext uri="{FF2B5EF4-FFF2-40B4-BE49-F238E27FC236}">
              <a16:creationId xmlns:a16="http://schemas.microsoft.com/office/drawing/2014/main" id="{F2562664-82BC-419D-A05E-ADA6DE41B0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4" name="image1.png">
          <a:extLst>
            <a:ext uri="{FF2B5EF4-FFF2-40B4-BE49-F238E27FC236}">
              <a16:creationId xmlns:a16="http://schemas.microsoft.com/office/drawing/2014/main" id="{C1104674-9F6D-443C-93F9-E37D9C1B3D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5" name="image1.png">
          <a:extLst>
            <a:ext uri="{FF2B5EF4-FFF2-40B4-BE49-F238E27FC236}">
              <a16:creationId xmlns:a16="http://schemas.microsoft.com/office/drawing/2014/main" id="{26A9298F-B085-400D-9814-9C877F39F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6" name="image1.png">
          <a:extLst>
            <a:ext uri="{FF2B5EF4-FFF2-40B4-BE49-F238E27FC236}">
              <a16:creationId xmlns:a16="http://schemas.microsoft.com/office/drawing/2014/main" id="{724365DC-CD25-415E-B514-FC565B26D7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7" name="image1.png">
          <a:extLst>
            <a:ext uri="{FF2B5EF4-FFF2-40B4-BE49-F238E27FC236}">
              <a16:creationId xmlns:a16="http://schemas.microsoft.com/office/drawing/2014/main" id="{C50F144B-E425-458B-B81C-CBF6B61CF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8" name="image1.png">
          <a:extLst>
            <a:ext uri="{FF2B5EF4-FFF2-40B4-BE49-F238E27FC236}">
              <a16:creationId xmlns:a16="http://schemas.microsoft.com/office/drawing/2014/main" id="{16007368-7549-4598-A7E0-FE1DC44882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89" name="image1.png">
          <a:extLst>
            <a:ext uri="{FF2B5EF4-FFF2-40B4-BE49-F238E27FC236}">
              <a16:creationId xmlns:a16="http://schemas.microsoft.com/office/drawing/2014/main" id="{753C5723-7EDF-4C4E-BC74-4A92AE48A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0" name="image1.png">
          <a:extLst>
            <a:ext uri="{FF2B5EF4-FFF2-40B4-BE49-F238E27FC236}">
              <a16:creationId xmlns:a16="http://schemas.microsoft.com/office/drawing/2014/main" id="{89CFD54C-A729-424A-AFBE-E4B1BD472E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1" name="image1.png">
          <a:extLst>
            <a:ext uri="{FF2B5EF4-FFF2-40B4-BE49-F238E27FC236}">
              <a16:creationId xmlns:a16="http://schemas.microsoft.com/office/drawing/2014/main" id="{6FE5668D-E1F1-4EC5-88F2-14F3098906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2" name="image1.png">
          <a:extLst>
            <a:ext uri="{FF2B5EF4-FFF2-40B4-BE49-F238E27FC236}">
              <a16:creationId xmlns:a16="http://schemas.microsoft.com/office/drawing/2014/main" id="{976A395B-6BA3-467B-A332-AF9EBA347F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3" name="image1.png">
          <a:extLst>
            <a:ext uri="{FF2B5EF4-FFF2-40B4-BE49-F238E27FC236}">
              <a16:creationId xmlns:a16="http://schemas.microsoft.com/office/drawing/2014/main" id="{AAF4EC12-E4A1-48D1-A754-41D41F5F79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4" name="image1.png">
          <a:extLst>
            <a:ext uri="{FF2B5EF4-FFF2-40B4-BE49-F238E27FC236}">
              <a16:creationId xmlns:a16="http://schemas.microsoft.com/office/drawing/2014/main" id="{6A8DADE3-8325-458F-AD1B-4BE0D3509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5" name="image1.png">
          <a:extLst>
            <a:ext uri="{FF2B5EF4-FFF2-40B4-BE49-F238E27FC236}">
              <a16:creationId xmlns:a16="http://schemas.microsoft.com/office/drawing/2014/main" id="{65B03258-0AF4-48F3-BED8-B1E35DC3F8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6" name="image1.png">
          <a:extLst>
            <a:ext uri="{FF2B5EF4-FFF2-40B4-BE49-F238E27FC236}">
              <a16:creationId xmlns:a16="http://schemas.microsoft.com/office/drawing/2014/main" id="{55CD4404-5E9A-4246-A321-5676C8CFFC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7" name="image1.png">
          <a:extLst>
            <a:ext uri="{FF2B5EF4-FFF2-40B4-BE49-F238E27FC236}">
              <a16:creationId xmlns:a16="http://schemas.microsoft.com/office/drawing/2014/main" id="{7B270169-9674-4DEE-BE59-C78665D871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8" name="image1.png">
          <a:extLst>
            <a:ext uri="{FF2B5EF4-FFF2-40B4-BE49-F238E27FC236}">
              <a16:creationId xmlns:a16="http://schemas.microsoft.com/office/drawing/2014/main" id="{066186E1-85F0-439A-91C8-1B696B5E6B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399" name="image1.png">
          <a:extLst>
            <a:ext uri="{FF2B5EF4-FFF2-40B4-BE49-F238E27FC236}">
              <a16:creationId xmlns:a16="http://schemas.microsoft.com/office/drawing/2014/main" id="{303820F5-321D-4153-9B78-B1CE624CF5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0" name="image1.png">
          <a:extLst>
            <a:ext uri="{FF2B5EF4-FFF2-40B4-BE49-F238E27FC236}">
              <a16:creationId xmlns:a16="http://schemas.microsoft.com/office/drawing/2014/main" id="{76B52745-9366-4111-BD99-531FE1EC66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1" name="image1.png">
          <a:extLst>
            <a:ext uri="{FF2B5EF4-FFF2-40B4-BE49-F238E27FC236}">
              <a16:creationId xmlns:a16="http://schemas.microsoft.com/office/drawing/2014/main" id="{754CAE20-544F-47A5-A4FE-127E2B0E09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2" name="image1.png">
          <a:extLst>
            <a:ext uri="{FF2B5EF4-FFF2-40B4-BE49-F238E27FC236}">
              <a16:creationId xmlns:a16="http://schemas.microsoft.com/office/drawing/2014/main" id="{D769E345-A755-440A-92C4-88EF45344B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3" name="image1.png">
          <a:extLst>
            <a:ext uri="{FF2B5EF4-FFF2-40B4-BE49-F238E27FC236}">
              <a16:creationId xmlns:a16="http://schemas.microsoft.com/office/drawing/2014/main" id="{7EBE4145-4791-4436-9E4C-350F6DEFDE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4" name="image1.png">
          <a:extLst>
            <a:ext uri="{FF2B5EF4-FFF2-40B4-BE49-F238E27FC236}">
              <a16:creationId xmlns:a16="http://schemas.microsoft.com/office/drawing/2014/main" id="{A378043B-04EB-49BD-9793-C385426F71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5" name="image1.png">
          <a:extLst>
            <a:ext uri="{FF2B5EF4-FFF2-40B4-BE49-F238E27FC236}">
              <a16:creationId xmlns:a16="http://schemas.microsoft.com/office/drawing/2014/main" id="{46562FEC-44AF-4293-B81E-4766A458D4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6" name="image1.png">
          <a:extLst>
            <a:ext uri="{FF2B5EF4-FFF2-40B4-BE49-F238E27FC236}">
              <a16:creationId xmlns:a16="http://schemas.microsoft.com/office/drawing/2014/main" id="{20162C9C-3EB5-4990-8EB4-6E9BA59B9F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7" name="image1.png">
          <a:extLst>
            <a:ext uri="{FF2B5EF4-FFF2-40B4-BE49-F238E27FC236}">
              <a16:creationId xmlns:a16="http://schemas.microsoft.com/office/drawing/2014/main" id="{AB018BAD-4918-44BE-9C56-518FFDC0C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8" name="image1.png">
          <a:extLst>
            <a:ext uri="{FF2B5EF4-FFF2-40B4-BE49-F238E27FC236}">
              <a16:creationId xmlns:a16="http://schemas.microsoft.com/office/drawing/2014/main" id="{66E1EEDB-5F82-4051-8D1B-6D6ADE0639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09" name="image1.png">
          <a:extLst>
            <a:ext uri="{FF2B5EF4-FFF2-40B4-BE49-F238E27FC236}">
              <a16:creationId xmlns:a16="http://schemas.microsoft.com/office/drawing/2014/main" id="{869B27EB-3C05-4F39-97FA-6BC66FDDC8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0" name="image1.png">
          <a:extLst>
            <a:ext uri="{FF2B5EF4-FFF2-40B4-BE49-F238E27FC236}">
              <a16:creationId xmlns:a16="http://schemas.microsoft.com/office/drawing/2014/main" id="{FC53C4A7-F5AA-49D0-B5E4-E33FE69A70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1" name="image1.png">
          <a:extLst>
            <a:ext uri="{FF2B5EF4-FFF2-40B4-BE49-F238E27FC236}">
              <a16:creationId xmlns:a16="http://schemas.microsoft.com/office/drawing/2014/main" id="{79DDE014-7E6D-4984-B65F-690412FD88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2" name="image1.png">
          <a:extLst>
            <a:ext uri="{FF2B5EF4-FFF2-40B4-BE49-F238E27FC236}">
              <a16:creationId xmlns:a16="http://schemas.microsoft.com/office/drawing/2014/main" id="{4DFCCDC8-72FB-4969-8B0E-A3FBF86CA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3" name="image1.png">
          <a:extLst>
            <a:ext uri="{FF2B5EF4-FFF2-40B4-BE49-F238E27FC236}">
              <a16:creationId xmlns:a16="http://schemas.microsoft.com/office/drawing/2014/main" id="{A02C22E5-697C-4316-A446-C5FBA65AAF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4" name="image1.png">
          <a:extLst>
            <a:ext uri="{FF2B5EF4-FFF2-40B4-BE49-F238E27FC236}">
              <a16:creationId xmlns:a16="http://schemas.microsoft.com/office/drawing/2014/main" id="{84CE36E9-6878-430E-B92F-4A756E3D31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5" name="image1.png">
          <a:extLst>
            <a:ext uri="{FF2B5EF4-FFF2-40B4-BE49-F238E27FC236}">
              <a16:creationId xmlns:a16="http://schemas.microsoft.com/office/drawing/2014/main" id="{7783E25D-F112-4F37-A220-3DA0D6F05C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6" name="image1.png">
          <a:extLst>
            <a:ext uri="{FF2B5EF4-FFF2-40B4-BE49-F238E27FC236}">
              <a16:creationId xmlns:a16="http://schemas.microsoft.com/office/drawing/2014/main" id="{E5F1A30F-BBF8-4FEC-BDFA-6D84B3A9B9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7" name="image1.png">
          <a:extLst>
            <a:ext uri="{FF2B5EF4-FFF2-40B4-BE49-F238E27FC236}">
              <a16:creationId xmlns:a16="http://schemas.microsoft.com/office/drawing/2014/main" id="{7FDDB29E-4C16-4425-A13D-1F3D8ED8C0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8" name="image1.png">
          <a:extLst>
            <a:ext uri="{FF2B5EF4-FFF2-40B4-BE49-F238E27FC236}">
              <a16:creationId xmlns:a16="http://schemas.microsoft.com/office/drawing/2014/main" id="{6D37AED3-3FE6-43E4-BA33-22F825B428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19" name="image1.png">
          <a:extLst>
            <a:ext uri="{FF2B5EF4-FFF2-40B4-BE49-F238E27FC236}">
              <a16:creationId xmlns:a16="http://schemas.microsoft.com/office/drawing/2014/main" id="{1789C8F6-4316-4F0B-8877-591ED5C0E5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0" name="image1.png">
          <a:extLst>
            <a:ext uri="{FF2B5EF4-FFF2-40B4-BE49-F238E27FC236}">
              <a16:creationId xmlns:a16="http://schemas.microsoft.com/office/drawing/2014/main" id="{73140F8C-1A76-457A-B582-70FF8B6EC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1" name="image1.png">
          <a:extLst>
            <a:ext uri="{FF2B5EF4-FFF2-40B4-BE49-F238E27FC236}">
              <a16:creationId xmlns:a16="http://schemas.microsoft.com/office/drawing/2014/main" id="{3326058F-89A1-47FB-885A-D8049D91BD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2" name="image1.png">
          <a:extLst>
            <a:ext uri="{FF2B5EF4-FFF2-40B4-BE49-F238E27FC236}">
              <a16:creationId xmlns:a16="http://schemas.microsoft.com/office/drawing/2014/main" id="{D0B7D27C-8B8C-401B-ADD6-7B1BB9C667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3" name="image1.png">
          <a:extLst>
            <a:ext uri="{FF2B5EF4-FFF2-40B4-BE49-F238E27FC236}">
              <a16:creationId xmlns:a16="http://schemas.microsoft.com/office/drawing/2014/main" id="{60E0F711-77CA-45F3-846B-A5BFC0D405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4" name="image1.png">
          <a:extLst>
            <a:ext uri="{FF2B5EF4-FFF2-40B4-BE49-F238E27FC236}">
              <a16:creationId xmlns:a16="http://schemas.microsoft.com/office/drawing/2014/main" id="{73FB5FFB-0AAA-4758-8A93-4FD89CF9E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5" name="image1.png">
          <a:extLst>
            <a:ext uri="{FF2B5EF4-FFF2-40B4-BE49-F238E27FC236}">
              <a16:creationId xmlns:a16="http://schemas.microsoft.com/office/drawing/2014/main" id="{5D3A75DF-B79D-45CA-A681-E8F3027F0F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6" name="image1.png">
          <a:extLst>
            <a:ext uri="{FF2B5EF4-FFF2-40B4-BE49-F238E27FC236}">
              <a16:creationId xmlns:a16="http://schemas.microsoft.com/office/drawing/2014/main" id="{36CC0686-E4D4-45F6-8886-79FF02FB6F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7" name="image1.png">
          <a:extLst>
            <a:ext uri="{FF2B5EF4-FFF2-40B4-BE49-F238E27FC236}">
              <a16:creationId xmlns:a16="http://schemas.microsoft.com/office/drawing/2014/main" id="{BDA09061-6853-4CEB-B1E8-C6DEBB5E71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8" name="image1.png">
          <a:extLst>
            <a:ext uri="{FF2B5EF4-FFF2-40B4-BE49-F238E27FC236}">
              <a16:creationId xmlns:a16="http://schemas.microsoft.com/office/drawing/2014/main" id="{884F552E-93CD-4A2C-8CDC-D8F8E284E4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29" name="image1.png">
          <a:extLst>
            <a:ext uri="{FF2B5EF4-FFF2-40B4-BE49-F238E27FC236}">
              <a16:creationId xmlns:a16="http://schemas.microsoft.com/office/drawing/2014/main" id="{9EC8D3FB-AAC3-4C82-831D-9C67627B17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0" name="image1.png">
          <a:extLst>
            <a:ext uri="{FF2B5EF4-FFF2-40B4-BE49-F238E27FC236}">
              <a16:creationId xmlns:a16="http://schemas.microsoft.com/office/drawing/2014/main" id="{7379DAA4-1B13-46D2-84AE-AE279BD027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1" name="image1.png">
          <a:extLst>
            <a:ext uri="{FF2B5EF4-FFF2-40B4-BE49-F238E27FC236}">
              <a16:creationId xmlns:a16="http://schemas.microsoft.com/office/drawing/2014/main" id="{460D331E-2454-445D-9DF7-0AEC16CD87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2" name="image1.png">
          <a:extLst>
            <a:ext uri="{FF2B5EF4-FFF2-40B4-BE49-F238E27FC236}">
              <a16:creationId xmlns:a16="http://schemas.microsoft.com/office/drawing/2014/main" id="{5EAB07CF-0EBB-40B2-9FE7-D396FD6B28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3" name="image1.png">
          <a:extLst>
            <a:ext uri="{FF2B5EF4-FFF2-40B4-BE49-F238E27FC236}">
              <a16:creationId xmlns:a16="http://schemas.microsoft.com/office/drawing/2014/main" id="{7E81B6A3-9B25-4BF4-8646-173520C6EF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4" name="image1.png">
          <a:extLst>
            <a:ext uri="{FF2B5EF4-FFF2-40B4-BE49-F238E27FC236}">
              <a16:creationId xmlns:a16="http://schemas.microsoft.com/office/drawing/2014/main" id="{CD203BE1-62B7-4898-A8B4-362C27B01F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5" name="image1.png">
          <a:extLst>
            <a:ext uri="{FF2B5EF4-FFF2-40B4-BE49-F238E27FC236}">
              <a16:creationId xmlns:a16="http://schemas.microsoft.com/office/drawing/2014/main" id="{2021C14C-1028-4467-B631-6CE2B3FF5B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6" name="image1.png">
          <a:extLst>
            <a:ext uri="{FF2B5EF4-FFF2-40B4-BE49-F238E27FC236}">
              <a16:creationId xmlns:a16="http://schemas.microsoft.com/office/drawing/2014/main" id="{C6CBA2DC-017E-4DCE-BAA6-E493752247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7" name="image1.png">
          <a:extLst>
            <a:ext uri="{FF2B5EF4-FFF2-40B4-BE49-F238E27FC236}">
              <a16:creationId xmlns:a16="http://schemas.microsoft.com/office/drawing/2014/main" id="{F4E114FB-894A-4959-8254-3435764757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8" name="image1.png">
          <a:extLst>
            <a:ext uri="{FF2B5EF4-FFF2-40B4-BE49-F238E27FC236}">
              <a16:creationId xmlns:a16="http://schemas.microsoft.com/office/drawing/2014/main" id="{979BA674-A694-4023-8FD4-CC264F1D7B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39" name="image1.png">
          <a:extLst>
            <a:ext uri="{FF2B5EF4-FFF2-40B4-BE49-F238E27FC236}">
              <a16:creationId xmlns:a16="http://schemas.microsoft.com/office/drawing/2014/main" id="{A3663635-D8E1-427E-A7A2-A34461E50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0" name="image1.png">
          <a:extLst>
            <a:ext uri="{FF2B5EF4-FFF2-40B4-BE49-F238E27FC236}">
              <a16:creationId xmlns:a16="http://schemas.microsoft.com/office/drawing/2014/main" id="{FB047D76-CFDD-4D3D-986C-BF89A0B7E2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1" name="image1.png">
          <a:extLst>
            <a:ext uri="{FF2B5EF4-FFF2-40B4-BE49-F238E27FC236}">
              <a16:creationId xmlns:a16="http://schemas.microsoft.com/office/drawing/2014/main" id="{D9BBC121-51C7-4BCB-A109-A05EE2C433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2" name="image1.png">
          <a:extLst>
            <a:ext uri="{FF2B5EF4-FFF2-40B4-BE49-F238E27FC236}">
              <a16:creationId xmlns:a16="http://schemas.microsoft.com/office/drawing/2014/main" id="{690CD05B-8ECA-4A76-83BD-DE4A5F860E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3" name="image1.png">
          <a:extLst>
            <a:ext uri="{FF2B5EF4-FFF2-40B4-BE49-F238E27FC236}">
              <a16:creationId xmlns:a16="http://schemas.microsoft.com/office/drawing/2014/main" id="{9E8EC79D-F051-43E8-81C0-5B713027B4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4" name="image1.png">
          <a:extLst>
            <a:ext uri="{FF2B5EF4-FFF2-40B4-BE49-F238E27FC236}">
              <a16:creationId xmlns:a16="http://schemas.microsoft.com/office/drawing/2014/main" id="{55017AFE-A549-4F77-AFA0-30FDA3C0F8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5" name="image1.png">
          <a:extLst>
            <a:ext uri="{FF2B5EF4-FFF2-40B4-BE49-F238E27FC236}">
              <a16:creationId xmlns:a16="http://schemas.microsoft.com/office/drawing/2014/main" id="{B8B8C1A2-00D1-414C-A427-3DEBC31E14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6" name="image1.png">
          <a:extLst>
            <a:ext uri="{FF2B5EF4-FFF2-40B4-BE49-F238E27FC236}">
              <a16:creationId xmlns:a16="http://schemas.microsoft.com/office/drawing/2014/main" id="{875F6797-AC6D-477B-BD38-E971E8FDBA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7" name="image1.png">
          <a:extLst>
            <a:ext uri="{FF2B5EF4-FFF2-40B4-BE49-F238E27FC236}">
              <a16:creationId xmlns:a16="http://schemas.microsoft.com/office/drawing/2014/main" id="{C5FCC516-AE0C-42CE-8368-9860B214F5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8" name="image1.png">
          <a:extLst>
            <a:ext uri="{FF2B5EF4-FFF2-40B4-BE49-F238E27FC236}">
              <a16:creationId xmlns:a16="http://schemas.microsoft.com/office/drawing/2014/main" id="{E97E192D-7EB0-4DED-8E46-FC886EA332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49" name="image1.png">
          <a:extLst>
            <a:ext uri="{FF2B5EF4-FFF2-40B4-BE49-F238E27FC236}">
              <a16:creationId xmlns:a16="http://schemas.microsoft.com/office/drawing/2014/main" id="{0FE8FAEB-C2CD-4566-B9FD-5C3DC22B33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0" name="image1.png">
          <a:extLst>
            <a:ext uri="{FF2B5EF4-FFF2-40B4-BE49-F238E27FC236}">
              <a16:creationId xmlns:a16="http://schemas.microsoft.com/office/drawing/2014/main" id="{298D919D-0AA9-46D5-BA3C-F0C8D1B92B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1" name="image1.png">
          <a:extLst>
            <a:ext uri="{FF2B5EF4-FFF2-40B4-BE49-F238E27FC236}">
              <a16:creationId xmlns:a16="http://schemas.microsoft.com/office/drawing/2014/main" id="{757C6556-6A46-4EB0-B634-5627096C45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2" name="image1.png">
          <a:extLst>
            <a:ext uri="{FF2B5EF4-FFF2-40B4-BE49-F238E27FC236}">
              <a16:creationId xmlns:a16="http://schemas.microsoft.com/office/drawing/2014/main" id="{D2AC2C5A-0D2F-4A1A-B0D8-DE42826D70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3" name="image1.png">
          <a:extLst>
            <a:ext uri="{FF2B5EF4-FFF2-40B4-BE49-F238E27FC236}">
              <a16:creationId xmlns:a16="http://schemas.microsoft.com/office/drawing/2014/main" id="{66CDEF6F-1C8E-45FB-851C-3F27B14FF3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4" name="image1.png">
          <a:extLst>
            <a:ext uri="{FF2B5EF4-FFF2-40B4-BE49-F238E27FC236}">
              <a16:creationId xmlns:a16="http://schemas.microsoft.com/office/drawing/2014/main" id="{E83D8980-1EDC-4CF3-BE4B-C82BF045AB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5" name="image1.png">
          <a:extLst>
            <a:ext uri="{FF2B5EF4-FFF2-40B4-BE49-F238E27FC236}">
              <a16:creationId xmlns:a16="http://schemas.microsoft.com/office/drawing/2014/main" id="{C97DE978-95B6-4874-B365-8935E71173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6" name="image1.png">
          <a:extLst>
            <a:ext uri="{FF2B5EF4-FFF2-40B4-BE49-F238E27FC236}">
              <a16:creationId xmlns:a16="http://schemas.microsoft.com/office/drawing/2014/main" id="{A48DADE9-3681-4991-BE45-4EE09D517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7" name="image1.png">
          <a:extLst>
            <a:ext uri="{FF2B5EF4-FFF2-40B4-BE49-F238E27FC236}">
              <a16:creationId xmlns:a16="http://schemas.microsoft.com/office/drawing/2014/main" id="{731059F6-940F-4D1D-98B3-58AB350D05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8" name="image1.png">
          <a:extLst>
            <a:ext uri="{FF2B5EF4-FFF2-40B4-BE49-F238E27FC236}">
              <a16:creationId xmlns:a16="http://schemas.microsoft.com/office/drawing/2014/main" id="{734ADD84-5863-427F-9187-EF4E4862C7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59" name="image1.png">
          <a:extLst>
            <a:ext uri="{FF2B5EF4-FFF2-40B4-BE49-F238E27FC236}">
              <a16:creationId xmlns:a16="http://schemas.microsoft.com/office/drawing/2014/main" id="{70DF9BCE-3A8C-4FFD-AF94-DA9B5E3A2F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0" name="image1.png">
          <a:extLst>
            <a:ext uri="{FF2B5EF4-FFF2-40B4-BE49-F238E27FC236}">
              <a16:creationId xmlns:a16="http://schemas.microsoft.com/office/drawing/2014/main" id="{5DDF1DBE-40A0-4F6F-A771-8C5F7F1F21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1" name="image1.png">
          <a:extLst>
            <a:ext uri="{FF2B5EF4-FFF2-40B4-BE49-F238E27FC236}">
              <a16:creationId xmlns:a16="http://schemas.microsoft.com/office/drawing/2014/main" id="{1FBF193D-8980-4C26-BADC-CA1EBDC017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2" name="image1.png">
          <a:extLst>
            <a:ext uri="{FF2B5EF4-FFF2-40B4-BE49-F238E27FC236}">
              <a16:creationId xmlns:a16="http://schemas.microsoft.com/office/drawing/2014/main" id="{DE43E1C8-58F2-4629-9B17-C72E4157F0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3" name="image1.png">
          <a:extLst>
            <a:ext uri="{FF2B5EF4-FFF2-40B4-BE49-F238E27FC236}">
              <a16:creationId xmlns:a16="http://schemas.microsoft.com/office/drawing/2014/main" id="{33577A58-09F9-45BF-8BB3-D04EC9B4DD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4" name="image1.png">
          <a:extLst>
            <a:ext uri="{FF2B5EF4-FFF2-40B4-BE49-F238E27FC236}">
              <a16:creationId xmlns:a16="http://schemas.microsoft.com/office/drawing/2014/main" id="{0F9E2E17-999A-4237-8372-5914094B14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5" name="image1.png">
          <a:extLst>
            <a:ext uri="{FF2B5EF4-FFF2-40B4-BE49-F238E27FC236}">
              <a16:creationId xmlns:a16="http://schemas.microsoft.com/office/drawing/2014/main" id="{19E935A1-4B8A-4A4E-BCDB-7FD93B66DF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6" name="image1.png">
          <a:extLst>
            <a:ext uri="{FF2B5EF4-FFF2-40B4-BE49-F238E27FC236}">
              <a16:creationId xmlns:a16="http://schemas.microsoft.com/office/drawing/2014/main" id="{1DDF348D-8F90-4D44-AE98-663BFF169F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7" name="image1.png">
          <a:extLst>
            <a:ext uri="{FF2B5EF4-FFF2-40B4-BE49-F238E27FC236}">
              <a16:creationId xmlns:a16="http://schemas.microsoft.com/office/drawing/2014/main" id="{C5CEA5E3-A96E-4C92-B608-94DB68C9C3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8" name="image1.png">
          <a:extLst>
            <a:ext uri="{FF2B5EF4-FFF2-40B4-BE49-F238E27FC236}">
              <a16:creationId xmlns:a16="http://schemas.microsoft.com/office/drawing/2014/main" id="{93CF5029-6E3B-4315-B4CD-F2CC9ACE7C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69" name="image1.png">
          <a:extLst>
            <a:ext uri="{FF2B5EF4-FFF2-40B4-BE49-F238E27FC236}">
              <a16:creationId xmlns:a16="http://schemas.microsoft.com/office/drawing/2014/main" id="{7EC6811D-926F-4089-8D03-854451A07D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0" name="image1.png">
          <a:extLst>
            <a:ext uri="{FF2B5EF4-FFF2-40B4-BE49-F238E27FC236}">
              <a16:creationId xmlns:a16="http://schemas.microsoft.com/office/drawing/2014/main" id="{FB3F82AF-4E76-4EDC-8091-63020CAE3B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1" name="image1.png">
          <a:extLst>
            <a:ext uri="{FF2B5EF4-FFF2-40B4-BE49-F238E27FC236}">
              <a16:creationId xmlns:a16="http://schemas.microsoft.com/office/drawing/2014/main" id="{90801582-BD92-40F8-BAFD-F136DC281A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2" name="image1.png">
          <a:extLst>
            <a:ext uri="{FF2B5EF4-FFF2-40B4-BE49-F238E27FC236}">
              <a16:creationId xmlns:a16="http://schemas.microsoft.com/office/drawing/2014/main" id="{0757590B-E2C6-4CCF-A441-54CB3B92AD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3" name="image1.png">
          <a:extLst>
            <a:ext uri="{FF2B5EF4-FFF2-40B4-BE49-F238E27FC236}">
              <a16:creationId xmlns:a16="http://schemas.microsoft.com/office/drawing/2014/main" id="{22DF417D-CC59-4FE3-AF5D-60A5487E9E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4" name="image1.png">
          <a:extLst>
            <a:ext uri="{FF2B5EF4-FFF2-40B4-BE49-F238E27FC236}">
              <a16:creationId xmlns:a16="http://schemas.microsoft.com/office/drawing/2014/main" id="{AF4F2B33-7DAC-4E04-AE55-082159EF26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5" name="image1.png">
          <a:extLst>
            <a:ext uri="{FF2B5EF4-FFF2-40B4-BE49-F238E27FC236}">
              <a16:creationId xmlns:a16="http://schemas.microsoft.com/office/drawing/2014/main" id="{34DCA8E6-5A45-41C6-B2A8-0F5E25262E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6" name="image1.png">
          <a:extLst>
            <a:ext uri="{FF2B5EF4-FFF2-40B4-BE49-F238E27FC236}">
              <a16:creationId xmlns:a16="http://schemas.microsoft.com/office/drawing/2014/main" id="{14461C55-0665-4A5D-89C9-673DB213AA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7" name="image1.png">
          <a:extLst>
            <a:ext uri="{FF2B5EF4-FFF2-40B4-BE49-F238E27FC236}">
              <a16:creationId xmlns:a16="http://schemas.microsoft.com/office/drawing/2014/main" id="{7A0C0F23-3C01-44E8-9FDE-8A868774CD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8" name="image1.png">
          <a:extLst>
            <a:ext uri="{FF2B5EF4-FFF2-40B4-BE49-F238E27FC236}">
              <a16:creationId xmlns:a16="http://schemas.microsoft.com/office/drawing/2014/main" id="{55D704AB-607A-40D8-8662-ABAB36B1AC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79" name="image1.png">
          <a:extLst>
            <a:ext uri="{FF2B5EF4-FFF2-40B4-BE49-F238E27FC236}">
              <a16:creationId xmlns:a16="http://schemas.microsoft.com/office/drawing/2014/main" id="{10D44090-9A05-4113-8E32-1695D4AA3C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0" name="image1.png">
          <a:extLst>
            <a:ext uri="{FF2B5EF4-FFF2-40B4-BE49-F238E27FC236}">
              <a16:creationId xmlns:a16="http://schemas.microsoft.com/office/drawing/2014/main" id="{BFF9EEA5-3F5A-4EEE-8494-FCBD9CF1F6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1" name="image1.png">
          <a:extLst>
            <a:ext uri="{FF2B5EF4-FFF2-40B4-BE49-F238E27FC236}">
              <a16:creationId xmlns:a16="http://schemas.microsoft.com/office/drawing/2014/main" id="{F74778CF-1AD9-4568-A18E-3FC58E90CC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2" name="image1.png">
          <a:extLst>
            <a:ext uri="{FF2B5EF4-FFF2-40B4-BE49-F238E27FC236}">
              <a16:creationId xmlns:a16="http://schemas.microsoft.com/office/drawing/2014/main" id="{6474CD94-AE1D-475F-985F-963D22F606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3" name="image1.png">
          <a:extLst>
            <a:ext uri="{FF2B5EF4-FFF2-40B4-BE49-F238E27FC236}">
              <a16:creationId xmlns:a16="http://schemas.microsoft.com/office/drawing/2014/main" id="{E2E801AE-4A64-4DB4-BB6A-FDCBDF8A91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4" name="image1.png">
          <a:extLst>
            <a:ext uri="{FF2B5EF4-FFF2-40B4-BE49-F238E27FC236}">
              <a16:creationId xmlns:a16="http://schemas.microsoft.com/office/drawing/2014/main" id="{0353F2F2-94B2-48E1-AACD-777254D578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5" name="image1.png">
          <a:extLst>
            <a:ext uri="{FF2B5EF4-FFF2-40B4-BE49-F238E27FC236}">
              <a16:creationId xmlns:a16="http://schemas.microsoft.com/office/drawing/2014/main" id="{DC98DD1F-B8B5-431E-83EB-8637D37FE6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6" name="image1.png">
          <a:extLst>
            <a:ext uri="{FF2B5EF4-FFF2-40B4-BE49-F238E27FC236}">
              <a16:creationId xmlns:a16="http://schemas.microsoft.com/office/drawing/2014/main" id="{287AF9D1-7419-4536-99B9-761149B3FC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7" name="image1.png">
          <a:extLst>
            <a:ext uri="{FF2B5EF4-FFF2-40B4-BE49-F238E27FC236}">
              <a16:creationId xmlns:a16="http://schemas.microsoft.com/office/drawing/2014/main" id="{7A67A164-D78A-4C4E-B6A7-7D102071C7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8" name="image1.png">
          <a:extLst>
            <a:ext uri="{FF2B5EF4-FFF2-40B4-BE49-F238E27FC236}">
              <a16:creationId xmlns:a16="http://schemas.microsoft.com/office/drawing/2014/main" id="{6FED2E81-C514-488F-B589-20390371A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89" name="image1.png">
          <a:extLst>
            <a:ext uri="{FF2B5EF4-FFF2-40B4-BE49-F238E27FC236}">
              <a16:creationId xmlns:a16="http://schemas.microsoft.com/office/drawing/2014/main" id="{084B6248-A3AF-4BEC-9DF8-FA8B9AC5E9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0" name="image1.png">
          <a:extLst>
            <a:ext uri="{FF2B5EF4-FFF2-40B4-BE49-F238E27FC236}">
              <a16:creationId xmlns:a16="http://schemas.microsoft.com/office/drawing/2014/main" id="{154D6C71-364D-41A8-8D0C-55E94867E2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1" name="image1.png">
          <a:extLst>
            <a:ext uri="{FF2B5EF4-FFF2-40B4-BE49-F238E27FC236}">
              <a16:creationId xmlns:a16="http://schemas.microsoft.com/office/drawing/2014/main" id="{C4194F22-DFE9-47B6-826B-E9078D06A6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2" name="image1.png">
          <a:extLst>
            <a:ext uri="{FF2B5EF4-FFF2-40B4-BE49-F238E27FC236}">
              <a16:creationId xmlns:a16="http://schemas.microsoft.com/office/drawing/2014/main" id="{509D2DFD-F9F4-43EB-9A0A-813C0052E3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3" name="image1.png">
          <a:extLst>
            <a:ext uri="{FF2B5EF4-FFF2-40B4-BE49-F238E27FC236}">
              <a16:creationId xmlns:a16="http://schemas.microsoft.com/office/drawing/2014/main" id="{FF3E0D62-92A2-4921-9F85-7964F6575F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4" name="image1.png">
          <a:extLst>
            <a:ext uri="{FF2B5EF4-FFF2-40B4-BE49-F238E27FC236}">
              <a16:creationId xmlns:a16="http://schemas.microsoft.com/office/drawing/2014/main" id="{0D43A5F4-A3F7-4B1D-A99D-FE407AA467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5" name="image1.png">
          <a:extLst>
            <a:ext uri="{FF2B5EF4-FFF2-40B4-BE49-F238E27FC236}">
              <a16:creationId xmlns:a16="http://schemas.microsoft.com/office/drawing/2014/main" id="{93F1FB5B-BF79-43B3-A895-61B6B0B2D3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6" name="image1.png">
          <a:extLst>
            <a:ext uri="{FF2B5EF4-FFF2-40B4-BE49-F238E27FC236}">
              <a16:creationId xmlns:a16="http://schemas.microsoft.com/office/drawing/2014/main" id="{F9F2F886-6513-4D73-BB36-DE6506C556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7" name="image1.png">
          <a:extLst>
            <a:ext uri="{FF2B5EF4-FFF2-40B4-BE49-F238E27FC236}">
              <a16:creationId xmlns:a16="http://schemas.microsoft.com/office/drawing/2014/main" id="{B35B3C48-E280-4195-8C56-F7C43CAF83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8" name="image1.png">
          <a:extLst>
            <a:ext uri="{FF2B5EF4-FFF2-40B4-BE49-F238E27FC236}">
              <a16:creationId xmlns:a16="http://schemas.microsoft.com/office/drawing/2014/main" id="{EDECA989-4783-4D49-B481-C9E5821A8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499" name="image1.png">
          <a:extLst>
            <a:ext uri="{FF2B5EF4-FFF2-40B4-BE49-F238E27FC236}">
              <a16:creationId xmlns:a16="http://schemas.microsoft.com/office/drawing/2014/main" id="{C2E6AB19-F413-4664-BE9A-2AD359D4E6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0" name="image1.png">
          <a:extLst>
            <a:ext uri="{FF2B5EF4-FFF2-40B4-BE49-F238E27FC236}">
              <a16:creationId xmlns:a16="http://schemas.microsoft.com/office/drawing/2014/main" id="{DEBFC5C2-534E-4CE5-AF22-F3DE9F7128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1" name="image1.png">
          <a:extLst>
            <a:ext uri="{FF2B5EF4-FFF2-40B4-BE49-F238E27FC236}">
              <a16:creationId xmlns:a16="http://schemas.microsoft.com/office/drawing/2014/main" id="{C7BE661B-8A73-4218-B3E6-F319B6A6E1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2" name="image1.png">
          <a:extLst>
            <a:ext uri="{FF2B5EF4-FFF2-40B4-BE49-F238E27FC236}">
              <a16:creationId xmlns:a16="http://schemas.microsoft.com/office/drawing/2014/main" id="{32464EF2-B386-4955-B82A-C6FB0109EF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3" name="image1.png">
          <a:extLst>
            <a:ext uri="{FF2B5EF4-FFF2-40B4-BE49-F238E27FC236}">
              <a16:creationId xmlns:a16="http://schemas.microsoft.com/office/drawing/2014/main" id="{1CA87E80-4578-4EAE-834F-6F1BD5E99C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4" name="image1.png">
          <a:extLst>
            <a:ext uri="{FF2B5EF4-FFF2-40B4-BE49-F238E27FC236}">
              <a16:creationId xmlns:a16="http://schemas.microsoft.com/office/drawing/2014/main" id="{A6A26DF0-F288-4847-8CC8-FDC2AD16B1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5" name="image1.png">
          <a:extLst>
            <a:ext uri="{FF2B5EF4-FFF2-40B4-BE49-F238E27FC236}">
              <a16:creationId xmlns:a16="http://schemas.microsoft.com/office/drawing/2014/main" id="{F9F4B7B1-CAA8-481E-9890-6E02233EE2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6" name="image1.png">
          <a:extLst>
            <a:ext uri="{FF2B5EF4-FFF2-40B4-BE49-F238E27FC236}">
              <a16:creationId xmlns:a16="http://schemas.microsoft.com/office/drawing/2014/main" id="{ED16F9D9-3816-4D49-9E14-AA6ECD9182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7" name="image1.png">
          <a:extLst>
            <a:ext uri="{FF2B5EF4-FFF2-40B4-BE49-F238E27FC236}">
              <a16:creationId xmlns:a16="http://schemas.microsoft.com/office/drawing/2014/main" id="{8E9B9491-44A7-4A1E-9A16-7E4E9721D0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8" name="image1.png">
          <a:extLst>
            <a:ext uri="{FF2B5EF4-FFF2-40B4-BE49-F238E27FC236}">
              <a16:creationId xmlns:a16="http://schemas.microsoft.com/office/drawing/2014/main" id="{1CB4D9AB-87A2-4D3C-B8F5-EE4AB55E9E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09" name="image1.png">
          <a:extLst>
            <a:ext uri="{FF2B5EF4-FFF2-40B4-BE49-F238E27FC236}">
              <a16:creationId xmlns:a16="http://schemas.microsoft.com/office/drawing/2014/main" id="{48B80D70-7B85-4E4D-AB54-31C1E1884C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0" name="image1.png">
          <a:extLst>
            <a:ext uri="{FF2B5EF4-FFF2-40B4-BE49-F238E27FC236}">
              <a16:creationId xmlns:a16="http://schemas.microsoft.com/office/drawing/2014/main" id="{016BC8D3-3EAF-4E88-ABF5-82C234DB69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1" name="image1.png">
          <a:extLst>
            <a:ext uri="{FF2B5EF4-FFF2-40B4-BE49-F238E27FC236}">
              <a16:creationId xmlns:a16="http://schemas.microsoft.com/office/drawing/2014/main" id="{FB0FD60F-7429-4980-87FA-9942967CEB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2" name="image1.png">
          <a:extLst>
            <a:ext uri="{FF2B5EF4-FFF2-40B4-BE49-F238E27FC236}">
              <a16:creationId xmlns:a16="http://schemas.microsoft.com/office/drawing/2014/main" id="{9D67E19D-DCA1-422F-AA68-AEBB84F4F0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3" name="image1.png">
          <a:extLst>
            <a:ext uri="{FF2B5EF4-FFF2-40B4-BE49-F238E27FC236}">
              <a16:creationId xmlns:a16="http://schemas.microsoft.com/office/drawing/2014/main" id="{9D1396C9-5694-4CDD-B62B-FC67D07F80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4" name="image1.png">
          <a:extLst>
            <a:ext uri="{FF2B5EF4-FFF2-40B4-BE49-F238E27FC236}">
              <a16:creationId xmlns:a16="http://schemas.microsoft.com/office/drawing/2014/main" id="{0DAE1C0D-1E80-4596-AB18-6D6A99BBC2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5" name="image1.png">
          <a:extLst>
            <a:ext uri="{FF2B5EF4-FFF2-40B4-BE49-F238E27FC236}">
              <a16:creationId xmlns:a16="http://schemas.microsoft.com/office/drawing/2014/main" id="{D0D753DB-B852-49E7-851A-A3B63E0833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6" name="image1.png">
          <a:extLst>
            <a:ext uri="{FF2B5EF4-FFF2-40B4-BE49-F238E27FC236}">
              <a16:creationId xmlns:a16="http://schemas.microsoft.com/office/drawing/2014/main" id="{63B5D5A7-A14C-4E66-82A3-7DF1EA5C3E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7" name="image1.png">
          <a:extLst>
            <a:ext uri="{FF2B5EF4-FFF2-40B4-BE49-F238E27FC236}">
              <a16:creationId xmlns:a16="http://schemas.microsoft.com/office/drawing/2014/main" id="{750DE8EE-4407-4F3E-B550-B822B6B3BB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8" name="image1.png">
          <a:extLst>
            <a:ext uri="{FF2B5EF4-FFF2-40B4-BE49-F238E27FC236}">
              <a16:creationId xmlns:a16="http://schemas.microsoft.com/office/drawing/2014/main" id="{0C946628-A287-4E77-BF20-D610C353B3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19" name="image1.png">
          <a:extLst>
            <a:ext uri="{FF2B5EF4-FFF2-40B4-BE49-F238E27FC236}">
              <a16:creationId xmlns:a16="http://schemas.microsoft.com/office/drawing/2014/main" id="{0C3672F1-EFDE-4A87-A11E-A4C1FE0567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0" name="image1.png">
          <a:extLst>
            <a:ext uri="{FF2B5EF4-FFF2-40B4-BE49-F238E27FC236}">
              <a16:creationId xmlns:a16="http://schemas.microsoft.com/office/drawing/2014/main" id="{19CEAEBE-AC62-4A5B-9882-0E68934BB5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1" name="image1.png">
          <a:extLst>
            <a:ext uri="{FF2B5EF4-FFF2-40B4-BE49-F238E27FC236}">
              <a16:creationId xmlns:a16="http://schemas.microsoft.com/office/drawing/2014/main" id="{1AE7FD99-1B0F-41ED-8A41-581EA0DE2B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2" name="image1.png">
          <a:extLst>
            <a:ext uri="{FF2B5EF4-FFF2-40B4-BE49-F238E27FC236}">
              <a16:creationId xmlns:a16="http://schemas.microsoft.com/office/drawing/2014/main" id="{0DF42F0E-A842-40B0-82E0-3375007581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3" name="image1.png">
          <a:extLst>
            <a:ext uri="{FF2B5EF4-FFF2-40B4-BE49-F238E27FC236}">
              <a16:creationId xmlns:a16="http://schemas.microsoft.com/office/drawing/2014/main" id="{1E1B4ADD-AC5A-4008-A830-920AB6E0F0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4" name="image1.png">
          <a:extLst>
            <a:ext uri="{FF2B5EF4-FFF2-40B4-BE49-F238E27FC236}">
              <a16:creationId xmlns:a16="http://schemas.microsoft.com/office/drawing/2014/main" id="{2DB14711-ADB4-45E7-ADF3-CFCBAEF7D1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5" name="image1.png">
          <a:extLst>
            <a:ext uri="{FF2B5EF4-FFF2-40B4-BE49-F238E27FC236}">
              <a16:creationId xmlns:a16="http://schemas.microsoft.com/office/drawing/2014/main" id="{86039FD7-F6F8-4220-8DCC-0EAA328DA4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6" name="image1.png">
          <a:extLst>
            <a:ext uri="{FF2B5EF4-FFF2-40B4-BE49-F238E27FC236}">
              <a16:creationId xmlns:a16="http://schemas.microsoft.com/office/drawing/2014/main" id="{093941D6-E889-45C2-9262-5F9CDD2EDD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7" name="image1.png">
          <a:extLst>
            <a:ext uri="{FF2B5EF4-FFF2-40B4-BE49-F238E27FC236}">
              <a16:creationId xmlns:a16="http://schemas.microsoft.com/office/drawing/2014/main" id="{E3FC2E61-1FE1-417A-A23B-D78CFF33D2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8" name="image1.png">
          <a:extLst>
            <a:ext uri="{FF2B5EF4-FFF2-40B4-BE49-F238E27FC236}">
              <a16:creationId xmlns:a16="http://schemas.microsoft.com/office/drawing/2014/main" id="{0C2B0DD6-6A8D-434B-A2D1-ACDE23212F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29" name="image1.png">
          <a:extLst>
            <a:ext uri="{FF2B5EF4-FFF2-40B4-BE49-F238E27FC236}">
              <a16:creationId xmlns:a16="http://schemas.microsoft.com/office/drawing/2014/main" id="{F4E73E83-3213-4CDE-944B-CFA294DB9C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0" name="image1.png">
          <a:extLst>
            <a:ext uri="{FF2B5EF4-FFF2-40B4-BE49-F238E27FC236}">
              <a16:creationId xmlns:a16="http://schemas.microsoft.com/office/drawing/2014/main" id="{9CD713E3-D51F-48FF-8786-CD18F28735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1" name="image1.png">
          <a:extLst>
            <a:ext uri="{FF2B5EF4-FFF2-40B4-BE49-F238E27FC236}">
              <a16:creationId xmlns:a16="http://schemas.microsoft.com/office/drawing/2014/main" id="{0E516BB2-7ADD-495D-9B42-A8AD4DDA0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2" name="image1.png">
          <a:extLst>
            <a:ext uri="{FF2B5EF4-FFF2-40B4-BE49-F238E27FC236}">
              <a16:creationId xmlns:a16="http://schemas.microsoft.com/office/drawing/2014/main" id="{30A2D2A9-2E23-454E-A3D0-D0D0DE6661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3" name="image1.png">
          <a:extLst>
            <a:ext uri="{FF2B5EF4-FFF2-40B4-BE49-F238E27FC236}">
              <a16:creationId xmlns:a16="http://schemas.microsoft.com/office/drawing/2014/main" id="{D7EC4925-ACE1-49FC-84F8-A00399A7D9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4" name="image1.png">
          <a:extLst>
            <a:ext uri="{FF2B5EF4-FFF2-40B4-BE49-F238E27FC236}">
              <a16:creationId xmlns:a16="http://schemas.microsoft.com/office/drawing/2014/main" id="{0018B740-9870-47BE-A316-DE881C4292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5" name="image1.png">
          <a:extLst>
            <a:ext uri="{FF2B5EF4-FFF2-40B4-BE49-F238E27FC236}">
              <a16:creationId xmlns:a16="http://schemas.microsoft.com/office/drawing/2014/main" id="{B7E53F28-303B-4092-9F97-EA24FFAD13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6" name="image1.png">
          <a:extLst>
            <a:ext uri="{FF2B5EF4-FFF2-40B4-BE49-F238E27FC236}">
              <a16:creationId xmlns:a16="http://schemas.microsoft.com/office/drawing/2014/main" id="{05B2629F-9E51-4E81-A3D5-FDAED3ED35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7" name="image1.png">
          <a:extLst>
            <a:ext uri="{FF2B5EF4-FFF2-40B4-BE49-F238E27FC236}">
              <a16:creationId xmlns:a16="http://schemas.microsoft.com/office/drawing/2014/main" id="{6BA463B8-8A2A-4A50-8A98-E456B3879E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8" name="image1.png">
          <a:extLst>
            <a:ext uri="{FF2B5EF4-FFF2-40B4-BE49-F238E27FC236}">
              <a16:creationId xmlns:a16="http://schemas.microsoft.com/office/drawing/2014/main" id="{1A21C3B8-86F5-403D-95AF-7E7D4784E9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39" name="image1.png">
          <a:extLst>
            <a:ext uri="{FF2B5EF4-FFF2-40B4-BE49-F238E27FC236}">
              <a16:creationId xmlns:a16="http://schemas.microsoft.com/office/drawing/2014/main" id="{22716E2A-4887-4FBE-A327-2026546F96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0" name="image1.png">
          <a:extLst>
            <a:ext uri="{FF2B5EF4-FFF2-40B4-BE49-F238E27FC236}">
              <a16:creationId xmlns:a16="http://schemas.microsoft.com/office/drawing/2014/main" id="{019BF464-F07A-442C-B6AB-E40FEC9ACB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1" name="image1.png">
          <a:extLst>
            <a:ext uri="{FF2B5EF4-FFF2-40B4-BE49-F238E27FC236}">
              <a16:creationId xmlns:a16="http://schemas.microsoft.com/office/drawing/2014/main" id="{6B5BAC44-7C1C-47F1-9B89-E559DD7F24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2" name="image1.png">
          <a:extLst>
            <a:ext uri="{FF2B5EF4-FFF2-40B4-BE49-F238E27FC236}">
              <a16:creationId xmlns:a16="http://schemas.microsoft.com/office/drawing/2014/main" id="{67BCEDDF-4067-4E8F-A245-9491BD3742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3" name="image1.png">
          <a:extLst>
            <a:ext uri="{FF2B5EF4-FFF2-40B4-BE49-F238E27FC236}">
              <a16:creationId xmlns:a16="http://schemas.microsoft.com/office/drawing/2014/main" id="{A1CAC829-318A-4EDD-B377-6CE268715D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4" name="image1.png">
          <a:extLst>
            <a:ext uri="{FF2B5EF4-FFF2-40B4-BE49-F238E27FC236}">
              <a16:creationId xmlns:a16="http://schemas.microsoft.com/office/drawing/2014/main" id="{B44DD3B2-93CF-47F5-A5F8-2834C34990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5" name="image1.png">
          <a:extLst>
            <a:ext uri="{FF2B5EF4-FFF2-40B4-BE49-F238E27FC236}">
              <a16:creationId xmlns:a16="http://schemas.microsoft.com/office/drawing/2014/main" id="{CD1B3EAA-B897-433B-8171-AE5658C4C7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6" name="image1.png">
          <a:extLst>
            <a:ext uri="{FF2B5EF4-FFF2-40B4-BE49-F238E27FC236}">
              <a16:creationId xmlns:a16="http://schemas.microsoft.com/office/drawing/2014/main" id="{0D27B6AC-21F1-4BCB-881B-A06CE40833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7" name="image1.png">
          <a:extLst>
            <a:ext uri="{FF2B5EF4-FFF2-40B4-BE49-F238E27FC236}">
              <a16:creationId xmlns:a16="http://schemas.microsoft.com/office/drawing/2014/main" id="{AF1B9731-DED9-4003-A792-FDF9640EA7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8" name="image1.png">
          <a:extLst>
            <a:ext uri="{FF2B5EF4-FFF2-40B4-BE49-F238E27FC236}">
              <a16:creationId xmlns:a16="http://schemas.microsoft.com/office/drawing/2014/main" id="{90884ADF-B610-4EB0-AB6C-4E929C2825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49" name="image1.png">
          <a:extLst>
            <a:ext uri="{FF2B5EF4-FFF2-40B4-BE49-F238E27FC236}">
              <a16:creationId xmlns:a16="http://schemas.microsoft.com/office/drawing/2014/main" id="{8A491E50-E689-4519-8B18-1FA516AE2C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0" name="image1.png">
          <a:extLst>
            <a:ext uri="{FF2B5EF4-FFF2-40B4-BE49-F238E27FC236}">
              <a16:creationId xmlns:a16="http://schemas.microsoft.com/office/drawing/2014/main" id="{6F363F4B-69E5-4CC4-A7BA-899D3E0EC2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1" name="image1.png">
          <a:extLst>
            <a:ext uri="{FF2B5EF4-FFF2-40B4-BE49-F238E27FC236}">
              <a16:creationId xmlns:a16="http://schemas.microsoft.com/office/drawing/2014/main" id="{CD03979F-738E-423E-BD75-DEC366ADE4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2" name="image1.png">
          <a:extLst>
            <a:ext uri="{FF2B5EF4-FFF2-40B4-BE49-F238E27FC236}">
              <a16:creationId xmlns:a16="http://schemas.microsoft.com/office/drawing/2014/main" id="{B2BDA749-B119-4CCE-8B6D-3AB146E67B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3" name="image1.png">
          <a:extLst>
            <a:ext uri="{FF2B5EF4-FFF2-40B4-BE49-F238E27FC236}">
              <a16:creationId xmlns:a16="http://schemas.microsoft.com/office/drawing/2014/main" id="{4A6B8711-2877-4748-BEFB-699BA6962C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4" name="image1.png">
          <a:extLst>
            <a:ext uri="{FF2B5EF4-FFF2-40B4-BE49-F238E27FC236}">
              <a16:creationId xmlns:a16="http://schemas.microsoft.com/office/drawing/2014/main" id="{FFD0DDAB-9A49-4326-B5DB-92C8AE03F9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5" name="image1.png">
          <a:extLst>
            <a:ext uri="{FF2B5EF4-FFF2-40B4-BE49-F238E27FC236}">
              <a16:creationId xmlns:a16="http://schemas.microsoft.com/office/drawing/2014/main" id="{72A717EA-98E9-4560-928F-7ABD891584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6" name="image1.png">
          <a:extLst>
            <a:ext uri="{FF2B5EF4-FFF2-40B4-BE49-F238E27FC236}">
              <a16:creationId xmlns:a16="http://schemas.microsoft.com/office/drawing/2014/main" id="{2AA58C74-63E4-498D-A96F-600CF97137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7" name="image1.png">
          <a:extLst>
            <a:ext uri="{FF2B5EF4-FFF2-40B4-BE49-F238E27FC236}">
              <a16:creationId xmlns:a16="http://schemas.microsoft.com/office/drawing/2014/main" id="{40EAD12F-7C21-4B86-983F-7B314578DD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8" name="image1.png">
          <a:extLst>
            <a:ext uri="{FF2B5EF4-FFF2-40B4-BE49-F238E27FC236}">
              <a16:creationId xmlns:a16="http://schemas.microsoft.com/office/drawing/2014/main" id="{C546171F-B1A1-4F21-A257-A7C0B11A80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59" name="image1.png">
          <a:extLst>
            <a:ext uri="{FF2B5EF4-FFF2-40B4-BE49-F238E27FC236}">
              <a16:creationId xmlns:a16="http://schemas.microsoft.com/office/drawing/2014/main" id="{73F112E0-B555-47FE-8358-1C8B18A1CA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0" name="image1.png">
          <a:extLst>
            <a:ext uri="{FF2B5EF4-FFF2-40B4-BE49-F238E27FC236}">
              <a16:creationId xmlns:a16="http://schemas.microsoft.com/office/drawing/2014/main" id="{831E13B4-E6CA-43D2-B0C2-50151ABB89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1" name="image1.png">
          <a:extLst>
            <a:ext uri="{FF2B5EF4-FFF2-40B4-BE49-F238E27FC236}">
              <a16:creationId xmlns:a16="http://schemas.microsoft.com/office/drawing/2014/main" id="{D84F6153-465A-4698-B202-9206EC62FD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2" name="image1.png">
          <a:extLst>
            <a:ext uri="{FF2B5EF4-FFF2-40B4-BE49-F238E27FC236}">
              <a16:creationId xmlns:a16="http://schemas.microsoft.com/office/drawing/2014/main" id="{17031938-523E-43E6-A297-995C47FD22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3" name="image1.png">
          <a:extLst>
            <a:ext uri="{FF2B5EF4-FFF2-40B4-BE49-F238E27FC236}">
              <a16:creationId xmlns:a16="http://schemas.microsoft.com/office/drawing/2014/main" id="{D445606A-3D70-46BF-BBD7-2C7DCEFF84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4" name="image1.png">
          <a:extLst>
            <a:ext uri="{FF2B5EF4-FFF2-40B4-BE49-F238E27FC236}">
              <a16:creationId xmlns:a16="http://schemas.microsoft.com/office/drawing/2014/main" id="{834CC5D4-AF92-43D5-87F1-88B61CE3AA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5" name="image1.png">
          <a:extLst>
            <a:ext uri="{FF2B5EF4-FFF2-40B4-BE49-F238E27FC236}">
              <a16:creationId xmlns:a16="http://schemas.microsoft.com/office/drawing/2014/main" id="{94FAC7F3-BC03-45C6-811F-EAB3BA43DE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6" name="image1.png">
          <a:extLst>
            <a:ext uri="{FF2B5EF4-FFF2-40B4-BE49-F238E27FC236}">
              <a16:creationId xmlns:a16="http://schemas.microsoft.com/office/drawing/2014/main" id="{59289F42-27D6-4C26-920A-F9ACFAA7A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7" name="image1.png">
          <a:extLst>
            <a:ext uri="{FF2B5EF4-FFF2-40B4-BE49-F238E27FC236}">
              <a16:creationId xmlns:a16="http://schemas.microsoft.com/office/drawing/2014/main" id="{12C0F3FA-5A6B-4757-91FB-379EFDFF0C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8" name="image1.png">
          <a:extLst>
            <a:ext uri="{FF2B5EF4-FFF2-40B4-BE49-F238E27FC236}">
              <a16:creationId xmlns:a16="http://schemas.microsoft.com/office/drawing/2014/main" id="{82047127-4E47-4EB4-A42F-7803C43064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69" name="image1.png">
          <a:extLst>
            <a:ext uri="{FF2B5EF4-FFF2-40B4-BE49-F238E27FC236}">
              <a16:creationId xmlns:a16="http://schemas.microsoft.com/office/drawing/2014/main" id="{976C0029-4DCA-4D05-8309-3EC8B31C55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0" name="image1.png">
          <a:extLst>
            <a:ext uri="{FF2B5EF4-FFF2-40B4-BE49-F238E27FC236}">
              <a16:creationId xmlns:a16="http://schemas.microsoft.com/office/drawing/2014/main" id="{D5E0660F-B2CD-4222-A996-BD2D4235F9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1" name="image1.png">
          <a:extLst>
            <a:ext uri="{FF2B5EF4-FFF2-40B4-BE49-F238E27FC236}">
              <a16:creationId xmlns:a16="http://schemas.microsoft.com/office/drawing/2014/main" id="{4593D26D-EBC4-49E8-A903-99AC9F85D7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2" name="image1.png">
          <a:extLst>
            <a:ext uri="{FF2B5EF4-FFF2-40B4-BE49-F238E27FC236}">
              <a16:creationId xmlns:a16="http://schemas.microsoft.com/office/drawing/2014/main" id="{E963AAF5-E324-4553-9ECF-3149C64285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3" name="image1.png">
          <a:extLst>
            <a:ext uri="{FF2B5EF4-FFF2-40B4-BE49-F238E27FC236}">
              <a16:creationId xmlns:a16="http://schemas.microsoft.com/office/drawing/2014/main" id="{C9CF3A01-8661-4420-BFB3-1BA591DC71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4" name="image1.png">
          <a:extLst>
            <a:ext uri="{FF2B5EF4-FFF2-40B4-BE49-F238E27FC236}">
              <a16:creationId xmlns:a16="http://schemas.microsoft.com/office/drawing/2014/main" id="{15459635-F74A-41BC-8B35-E5FF1188FD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5" name="image1.png">
          <a:extLst>
            <a:ext uri="{FF2B5EF4-FFF2-40B4-BE49-F238E27FC236}">
              <a16:creationId xmlns:a16="http://schemas.microsoft.com/office/drawing/2014/main" id="{67496464-6D0E-463D-88A3-17A1BB8885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6" name="image1.png">
          <a:extLst>
            <a:ext uri="{FF2B5EF4-FFF2-40B4-BE49-F238E27FC236}">
              <a16:creationId xmlns:a16="http://schemas.microsoft.com/office/drawing/2014/main" id="{3C3D41A8-912A-42A7-AFF5-BECABBF25D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7" name="image1.png">
          <a:extLst>
            <a:ext uri="{FF2B5EF4-FFF2-40B4-BE49-F238E27FC236}">
              <a16:creationId xmlns:a16="http://schemas.microsoft.com/office/drawing/2014/main" id="{8145144A-AFD9-4DB9-9270-58D7DF5E98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8" name="image1.png">
          <a:extLst>
            <a:ext uri="{FF2B5EF4-FFF2-40B4-BE49-F238E27FC236}">
              <a16:creationId xmlns:a16="http://schemas.microsoft.com/office/drawing/2014/main" id="{82FC7AEA-0F35-4903-A041-8285949221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79" name="image1.png">
          <a:extLst>
            <a:ext uri="{FF2B5EF4-FFF2-40B4-BE49-F238E27FC236}">
              <a16:creationId xmlns:a16="http://schemas.microsoft.com/office/drawing/2014/main" id="{0CB48AF5-7EBD-4423-A764-8EE44E9864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0" name="image1.png">
          <a:extLst>
            <a:ext uri="{FF2B5EF4-FFF2-40B4-BE49-F238E27FC236}">
              <a16:creationId xmlns:a16="http://schemas.microsoft.com/office/drawing/2014/main" id="{1E6DA218-3870-422C-9FDB-77D449FAA3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1" name="image1.png">
          <a:extLst>
            <a:ext uri="{FF2B5EF4-FFF2-40B4-BE49-F238E27FC236}">
              <a16:creationId xmlns:a16="http://schemas.microsoft.com/office/drawing/2014/main" id="{B06B75C0-4E76-4833-A53B-49340E2BA4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2" name="image1.png">
          <a:extLst>
            <a:ext uri="{FF2B5EF4-FFF2-40B4-BE49-F238E27FC236}">
              <a16:creationId xmlns:a16="http://schemas.microsoft.com/office/drawing/2014/main" id="{23949843-1A4C-4F9C-A455-22E08951C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3" name="image1.png">
          <a:extLst>
            <a:ext uri="{FF2B5EF4-FFF2-40B4-BE49-F238E27FC236}">
              <a16:creationId xmlns:a16="http://schemas.microsoft.com/office/drawing/2014/main" id="{60DBBB9D-24FE-4C85-A2A9-A451AB891E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4" name="image1.png">
          <a:extLst>
            <a:ext uri="{FF2B5EF4-FFF2-40B4-BE49-F238E27FC236}">
              <a16:creationId xmlns:a16="http://schemas.microsoft.com/office/drawing/2014/main" id="{D5BE6927-63E2-4B08-9B5C-81C0A399C9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5" name="image1.png">
          <a:extLst>
            <a:ext uri="{FF2B5EF4-FFF2-40B4-BE49-F238E27FC236}">
              <a16:creationId xmlns:a16="http://schemas.microsoft.com/office/drawing/2014/main" id="{42FF216C-E00C-4AA9-BE69-7CD1880CD4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6" name="image1.png">
          <a:extLst>
            <a:ext uri="{FF2B5EF4-FFF2-40B4-BE49-F238E27FC236}">
              <a16:creationId xmlns:a16="http://schemas.microsoft.com/office/drawing/2014/main" id="{06097E05-B0D8-40C4-B4F3-89E83B65C2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7" name="image1.png">
          <a:extLst>
            <a:ext uri="{FF2B5EF4-FFF2-40B4-BE49-F238E27FC236}">
              <a16:creationId xmlns:a16="http://schemas.microsoft.com/office/drawing/2014/main" id="{37FB2964-6060-443C-A880-2221FC6A99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8" name="image1.png">
          <a:extLst>
            <a:ext uri="{FF2B5EF4-FFF2-40B4-BE49-F238E27FC236}">
              <a16:creationId xmlns:a16="http://schemas.microsoft.com/office/drawing/2014/main" id="{6F5FBBBE-4360-4556-9A94-90362E09C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89" name="image1.png">
          <a:extLst>
            <a:ext uri="{FF2B5EF4-FFF2-40B4-BE49-F238E27FC236}">
              <a16:creationId xmlns:a16="http://schemas.microsoft.com/office/drawing/2014/main" id="{3106D7A1-D154-4874-8AA2-8D4BAF2098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0" name="image1.png">
          <a:extLst>
            <a:ext uri="{FF2B5EF4-FFF2-40B4-BE49-F238E27FC236}">
              <a16:creationId xmlns:a16="http://schemas.microsoft.com/office/drawing/2014/main" id="{D9B04480-A891-4ADA-8AD6-515A2C7852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1" name="image1.png">
          <a:extLst>
            <a:ext uri="{FF2B5EF4-FFF2-40B4-BE49-F238E27FC236}">
              <a16:creationId xmlns:a16="http://schemas.microsoft.com/office/drawing/2014/main" id="{C6B31A6A-1ED8-4FB1-A137-AEF78AC49B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2" name="image1.png">
          <a:extLst>
            <a:ext uri="{FF2B5EF4-FFF2-40B4-BE49-F238E27FC236}">
              <a16:creationId xmlns:a16="http://schemas.microsoft.com/office/drawing/2014/main" id="{D037C0B0-EC47-4FE3-94C6-A42D37E1AB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3" name="image1.png">
          <a:extLst>
            <a:ext uri="{FF2B5EF4-FFF2-40B4-BE49-F238E27FC236}">
              <a16:creationId xmlns:a16="http://schemas.microsoft.com/office/drawing/2014/main" id="{2C011C98-51A7-4AA0-88DA-7FD1CDE6D8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4" name="image1.png">
          <a:extLst>
            <a:ext uri="{FF2B5EF4-FFF2-40B4-BE49-F238E27FC236}">
              <a16:creationId xmlns:a16="http://schemas.microsoft.com/office/drawing/2014/main" id="{DB513D0A-43B5-4F5E-BA35-0115952D39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5" name="image1.png">
          <a:extLst>
            <a:ext uri="{FF2B5EF4-FFF2-40B4-BE49-F238E27FC236}">
              <a16:creationId xmlns:a16="http://schemas.microsoft.com/office/drawing/2014/main" id="{695B283C-872D-4A2D-9F02-4D4FC1BA48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6" name="image1.png">
          <a:extLst>
            <a:ext uri="{FF2B5EF4-FFF2-40B4-BE49-F238E27FC236}">
              <a16:creationId xmlns:a16="http://schemas.microsoft.com/office/drawing/2014/main" id="{2A2E1B19-7034-427E-AB59-ED34289319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7" name="image1.png">
          <a:extLst>
            <a:ext uri="{FF2B5EF4-FFF2-40B4-BE49-F238E27FC236}">
              <a16:creationId xmlns:a16="http://schemas.microsoft.com/office/drawing/2014/main" id="{24267B5F-D003-40DF-B316-4856A0C6BB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8" name="image1.png">
          <a:extLst>
            <a:ext uri="{FF2B5EF4-FFF2-40B4-BE49-F238E27FC236}">
              <a16:creationId xmlns:a16="http://schemas.microsoft.com/office/drawing/2014/main" id="{5B9DC619-1075-4810-8962-81608D7804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599" name="image1.png">
          <a:extLst>
            <a:ext uri="{FF2B5EF4-FFF2-40B4-BE49-F238E27FC236}">
              <a16:creationId xmlns:a16="http://schemas.microsoft.com/office/drawing/2014/main" id="{7BAC457A-B284-4D63-BF2A-5DAAC43075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0" name="image1.png">
          <a:extLst>
            <a:ext uri="{FF2B5EF4-FFF2-40B4-BE49-F238E27FC236}">
              <a16:creationId xmlns:a16="http://schemas.microsoft.com/office/drawing/2014/main" id="{2721B637-8B62-40F8-81D9-2867F099FF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1" name="image1.png">
          <a:extLst>
            <a:ext uri="{FF2B5EF4-FFF2-40B4-BE49-F238E27FC236}">
              <a16:creationId xmlns:a16="http://schemas.microsoft.com/office/drawing/2014/main" id="{13EBEC32-329A-4E65-BA26-2729E2E77F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2" name="image1.png">
          <a:extLst>
            <a:ext uri="{FF2B5EF4-FFF2-40B4-BE49-F238E27FC236}">
              <a16:creationId xmlns:a16="http://schemas.microsoft.com/office/drawing/2014/main" id="{A03CB1E9-62B8-404A-9F66-EBB24DD97F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3" name="image1.png">
          <a:extLst>
            <a:ext uri="{FF2B5EF4-FFF2-40B4-BE49-F238E27FC236}">
              <a16:creationId xmlns:a16="http://schemas.microsoft.com/office/drawing/2014/main" id="{79789FFE-ADDF-42D0-BAB6-FEBCDAC6E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4" name="image1.png">
          <a:extLst>
            <a:ext uri="{FF2B5EF4-FFF2-40B4-BE49-F238E27FC236}">
              <a16:creationId xmlns:a16="http://schemas.microsoft.com/office/drawing/2014/main" id="{D4391C6D-5C90-4666-86F0-3830B82190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5" name="image1.png">
          <a:extLst>
            <a:ext uri="{FF2B5EF4-FFF2-40B4-BE49-F238E27FC236}">
              <a16:creationId xmlns:a16="http://schemas.microsoft.com/office/drawing/2014/main" id="{7CF393B2-BE3E-4067-B360-5468A3A3EF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6" name="image1.png">
          <a:extLst>
            <a:ext uri="{FF2B5EF4-FFF2-40B4-BE49-F238E27FC236}">
              <a16:creationId xmlns:a16="http://schemas.microsoft.com/office/drawing/2014/main" id="{A3CF3837-79EB-43AF-80DF-DD11984F11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7" name="image1.png">
          <a:extLst>
            <a:ext uri="{FF2B5EF4-FFF2-40B4-BE49-F238E27FC236}">
              <a16:creationId xmlns:a16="http://schemas.microsoft.com/office/drawing/2014/main" id="{F57DDCEC-EFE5-4639-8F97-5BCBADF6F3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8" name="image1.png">
          <a:extLst>
            <a:ext uri="{FF2B5EF4-FFF2-40B4-BE49-F238E27FC236}">
              <a16:creationId xmlns:a16="http://schemas.microsoft.com/office/drawing/2014/main" id="{9D49E031-E38C-4FEB-A14A-ACDAA03ACE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09" name="image1.png">
          <a:extLst>
            <a:ext uri="{FF2B5EF4-FFF2-40B4-BE49-F238E27FC236}">
              <a16:creationId xmlns:a16="http://schemas.microsoft.com/office/drawing/2014/main" id="{FC5A50BD-0702-47A4-9CD7-6914A06A6E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0" name="image1.png">
          <a:extLst>
            <a:ext uri="{FF2B5EF4-FFF2-40B4-BE49-F238E27FC236}">
              <a16:creationId xmlns:a16="http://schemas.microsoft.com/office/drawing/2014/main" id="{F04CF281-9CDF-48D6-A2C6-EC7658E798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1" name="image1.png">
          <a:extLst>
            <a:ext uri="{FF2B5EF4-FFF2-40B4-BE49-F238E27FC236}">
              <a16:creationId xmlns:a16="http://schemas.microsoft.com/office/drawing/2014/main" id="{6F15A3FC-7D25-43BE-9A7C-400FBA93F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2" name="image1.png">
          <a:extLst>
            <a:ext uri="{FF2B5EF4-FFF2-40B4-BE49-F238E27FC236}">
              <a16:creationId xmlns:a16="http://schemas.microsoft.com/office/drawing/2014/main" id="{35C5C935-9B5F-4C96-8D11-40BD859D97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3" name="image1.png">
          <a:extLst>
            <a:ext uri="{FF2B5EF4-FFF2-40B4-BE49-F238E27FC236}">
              <a16:creationId xmlns:a16="http://schemas.microsoft.com/office/drawing/2014/main" id="{1403FCBB-8F3E-4DEE-8AE7-B7DB889DB0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4" name="image1.png">
          <a:extLst>
            <a:ext uri="{FF2B5EF4-FFF2-40B4-BE49-F238E27FC236}">
              <a16:creationId xmlns:a16="http://schemas.microsoft.com/office/drawing/2014/main" id="{E1B6F4F3-D1EF-459A-ABA6-26A62F42C4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5" name="image1.png">
          <a:extLst>
            <a:ext uri="{FF2B5EF4-FFF2-40B4-BE49-F238E27FC236}">
              <a16:creationId xmlns:a16="http://schemas.microsoft.com/office/drawing/2014/main" id="{45D16CFF-9A21-4A29-8E1D-D8C0BF78FC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6" name="image1.png">
          <a:extLst>
            <a:ext uri="{FF2B5EF4-FFF2-40B4-BE49-F238E27FC236}">
              <a16:creationId xmlns:a16="http://schemas.microsoft.com/office/drawing/2014/main" id="{380982F1-0761-4CD2-B324-DA870C878C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7" name="image1.png">
          <a:extLst>
            <a:ext uri="{FF2B5EF4-FFF2-40B4-BE49-F238E27FC236}">
              <a16:creationId xmlns:a16="http://schemas.microsoft.com/office/drawing/2014/main" id="{52D7C0A3-DFAD-483C-89A5-D70FC68AC9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8" name="image1.png">
          <a:extLst>
            <a:ext uri="{FF2B5EF4-FFF2-40B4-BE49-F238E27FC236}">
              <a16:creationId xmlns:a16="http://schemas.microsoft.com/office/drawing/2014/main" id="{7CC0CD90-8F7B-4C34-B894-FB17F5BAB6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19" name="image1.png">
          <a:extLst>
            <a:ext uri="{FF2B5EF4-FFF2-40B4-BE49-F238E27FC236}">
              <a16:creationId xmlns:a16="http://schemas.microsoft.com/office/drawing/2014/main" id="{A98B5675-675E-43BB-AEB7-9CAF486A3D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0" name="image1.png">
          <a:extLst>
            <a:ext uri="{FF2B5EF4-FFF2-40B4-BE49-F238E27FC236}">
              <a16:creationId xmlns:a16="http://schemas.microsoft.com/office/drawing/2014/main" id="{0ED37F69-8B76-43F2-B1C1-1E3A862E82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1" name="image1.png">
          <a:extLst>
            <a:ext uri="{FF2B5EF4-FFF2-40B4-BE49-F238E27FC236}">
              <a16:creationId xmlns:a16="http://schemas.microsoft.com/office/drawing/2014/main" id="{C41BAD73-C81B-47A8-AE38-F5896E6526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2" name="image1.png">
          <a:extLst>
            <a:ext uri="{FF2B5EF4-FFF2-40B4-BE49-F238E27FC236}">
              <a16:creationId xmlns:a16="http://schemas.microsoft.com/office/drawing/2014/main" id="{A0F9488D-3264-4D89-9E58-5AE4260955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3" name="image1.png">
          <a:extLst>
            <a:ext uri="{FF2B5EF4-FFF2-40B4-BE49-F238E27FC236}">
              <a16:creationId xmlns:a16="http://schemas.microsoft.com/office/drawing/2014/main" id="{28DE5591-7527-4A25-80D0-70C8966E74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4" name="image1.png">
          <a:extLst>
            <a:ext uri="{FF2B5EF4-FFF2-40B4-BE49-F238E27FC236}">
              <a16:creationId xmlns:a16="http://schemas.microsoft.com/office/drawing/2014/main" id="{D908EB47-3F61-48E9-91AE-9BE7149C23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5" name="image1.png">
          <a:extLst>
            <a:ext uri="{FF2B5EF4-FFF2-40B4-BE49-F238E27FC236}">
              <a16:creationId xmlns:a16="http://schemas.microsoft.com/office/drawing/2014/main" id="{AD02623F-2A89-40A8-9AF6-71F013C7BC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6" name="image1.png">
          <a:extLst>
            <a:ext uri="{FF2B5EF4-FFF2-40B4-BE49-F238E27FC236}">
              <a16:creationId xmlns:a16="http://schemas.microsoft.com/office/drawing/2014/main" id="{A7D55F05-3C73-481E-BB57-168DC82DAA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7" name="image1.png">
          <a:extLst>
            <a:ext uri="{FF2B5EF4-FFF2-40B4-BE49-F238E27FC236}">
              <a16:creationId xmlns:a16="http://schemas.microsoft.com/office/drawing/2014/main" id="{EDB0A8ED-13F6-45CD-80B2-186553488F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8" name="image1.png">
          <a:extLst>
            <a:ext uri="{FF2B5EF4-FFF2-40B4-BE49-F238E27FC236}">
              <a16:creationId xmlns:a16="http://schemas.microsoft.com/office/drawing/2014/main" id="{978CC254-A0CC-4610-91C7-967C361FD8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29" name="image1.png">
          <a:extLst>
            <a:ext uri="{FF2B5EF4-FFF2-40B4-BE49-F238E27FC236}">
              <a16:creationId xmlns:a16="http://schemas.microsoft.com/office/drawing/2014/main" id="{C9100529-128F-4AFF-AD7C-22C246F923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0" name="image1.png">
          <a:extLst>
            <a:ext uri="{FF2B5EF4-FFF2-40B4-BE49-F238E27FC236}">
              <a16:creationId xmlns:a16="http://schemas.microsoft.com/office/drawing/2014/main" id="{3AF20A9B-2023-46E8-83BC-EB4DE5AE6A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1" name="image1.png">
          <a:extLst>
            <a:ext uri="{FF2B5EF4-FFF2-40B4-BE49-F238E27FC236}">
              <a16:creationId xmlns:a16="http://schemas.microsoft.com/office/drawing/2014/main" id="{24793EE0-0D45-47C4-872E-1212DC5FF0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2" name="image1.png">
          <a:extLst>
            <a:ext uri="{FF2B5EF4-FFF2-40B4-BE49-F238E27FC236}">
              <a16:creationId xmlns:a16="http://schemas.microsoft.com/office/drawing/2014/main" id="{7D3901EF-3B7D-4183-BB3A-B19541A865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3" name="image1.png">
          <a:extLst>
            <a:ext uri="{FF2B5EF4-FFF2-40B4-BE49-F238E27FC236}">
              <a16:creationId xmlns:a16="http://schemas.microsoft.com/office/drawing/2014/main" id="{980575FA-DAD7-48DA-864F-D996B8547E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4" name="image1.png">
          <a:extLst>
            <a:ext uri="{FF2B5EF4-FFF2-40B4-BE49-F238E27FC236}">
              <a16:creationId xmlns:a16="http://schemas.microsoft.com/office/drawing/2014/main" id="{07CEEAA6-A3BC-493A-ADD9-8494C70D90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5" name="image1.png">
          <a:extLst>
            <a:ext uri="{FF2B5EF4-FFF2-40B4-BE49-F238E27FC236}">
              <a16:creationId xmlns:a16="http://schemas.microsoft.com/office/drawing/2014/main" id="{C49827E0-2CD7-45F8-A1CF-69F21DC232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6" name="image1.png">
          <a:extLst>
            <a:ext uri="{FF2B5EF4-FFF2-40B4-BE49-F238E27FC236}">
              <a16:creationId xmlns:a16="http://schemas.microsoft.com/office/drawing/2014/main" id="{4466B34F-CA0C-40D2-A1E7-02FE1BEF24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7" name="image1.png">
          <a:extLst>
            <a:ext uri="{FF2B5EF4-FFF2-40B4-BE49-F238E27FC236}">
              <a16:creationId xmlns:a16="http://schemas.microsoft.com/office/drawing/2014/main" id="{6C7D05BB-8644-4D01-B369-2A2C072208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8" name="image1.png">
          <a:extLst>
            <a:ext uri="{FF2B5EF4-FFF2-40B4-BE49-F238E27FC236}">
              <a16:creationId xmlns:a16="http://schemas.microsoft.com/office/drawing/2014/main" id="{70079302-4C48-402A-B5F1-3E2DC1F05F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39" name="image1.png">
          <a:extLst>
            <a:ext uri="{FF2B5EF4-FFF2-40B4-BE49-F238E27FC236}">
              <a16:creationId xmlns:a16="http://schemas.microsoft.com/office/drawing/2014/main" id="{7946A9C7-6F02-426D-812A-D26AEB906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0" name="image1.png">
          <a:extLst>
            <a:ext uri="{FF2B5EF4-FFF2-40B4-BE49-F238E27FC236}">
              <a16:creationId xmlns:a16="http://schemas.microsoft.com/office/drawing/2014/main" id="{8ED1C45A-EA4C-4A46-8CEE-18E8FB9713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1" name="image1.png">
          <a:extLst>
            <a:ext uri="{FF2B5EF4-FFF2-40B4-BE49-F238E27FC236}">
              <a16:creationId xmlns:a16="http://schemas.microsoft.com/office/drawing/2014/main" id="{566FBF03-83DB-42F7-9422-BB51D0753A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2" name="image1.png">
          <a:extLst>
            <a:ext uri="{FF2B5EF4-FFF2-40B4-BE49-F238E27FC236}">
              <a16:creationId xmlns:a16="http://schemas.microsoft.com/office/drawing/2014/main" id="{EF53B3E2-F9CA-4A26-B0F9-2E8699070D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3" name="image1.png">
          <a:extLst>
            <a:ext uri="{FF2B5EF4-FFF2-40B4-BE49-F238E27FC236}">
              <a16:creationId xmlns:a16="http://schemas.microsoft.com/office/drawing/2014/main" id="{16ACEF5E-792C-4DD9-B919-7E31BFD926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4" name="image1.png">
          <a:extLst>
            <a:ext uri="{FF2B5EF4-FFF2-40B4-BE49-F238E27FC236}">
              <a16:creationId xmlns:a16="http://schemas.microsoft.com/office/drawing/2014/main" id="{B8C70339-DA52-4D28-BD8B-1D2C15E0C8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5" name="image1.png">
          <a:extLst>
            <a:ext uri="{FF2B5EF4-FFF2-40B4-BE49-F238E27FC236}">
              <a16:creationId xmlns:a16="http://schemas.microsoft.com/office/drawing/2014/main" id="{8CED77AE-1338-4952-B050-311D926CBF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6" name="image1.png">
          <a:extLst>
            <a:ext uri="{FF2B5EF4-FFF2-40B4-BE49-F238E27FC236}">
              <a16:creationId xmlns:a16="http://schemas.microsoft.com/office/drawing/2014/main" id="{391CBB6D-641B-43CD-88AA-F4631E8A7F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7" name="image1.png">
          <a:extLst>
            <a:ext uri="{FF2B5EF4-FFF2-40B4-BE49-F238E27FC236}">
              <a16:creationId xmlns:a16="http://schemas.microsoft.com/office/drawing/2014/main" id="{EAD94575-C8F1-495B-AB6E-3A0F240E27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8" name="image1.png">
          <a:extLst>
            <a:ext uri="{FF2B5EF4-FFF2-40B4-BE49-F238E27FC236}">
              <a16:creationId xmlns:a16="http://schemas.microsoft.com/office/drawing/2014/main" id="{6402C369-6C7F-4265-BDE3-4817B4AD9F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49" name="image1.png">
          <a:extLst>
            <a:ext uri="{FF2B5EF4-FFF2-40B4-BE49-F238E27FC236}">
              <a16:creationId xmlns:a16="http://schemas.microsoft.com/office/drawing/2014/main" id="{F268C6A2-1BA0-4C31-9BE2-06A50E1798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0" name="image1.png">
          <a:extLst>
            <a:ext uri="{FF2B5EF4-FFF2-40B4-BE49-F238E27FC236}">
              <a16:creationId xmlns:a16="http://schemas.microsoft.com/office/drawing/2014/main" id="{5BB497C1-646B-45AF-AEF1-B12FC5866F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1" name="image1.png">
          <a:extLst>
            <a:ext uri="{FF2B5EF4-FFF2-40B4-BE49-F238E27FC236}">
              <a16:creationId xmlns:a16="http://schemas.microsoft.com/office/drawing/2014/main" id="{77DD38E5-982E-4A1A-B584-5217EB2E42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2" name="image1.png">
          <a:extLst>
            <a:ext uri="{FF2B5EF4-FFF2-40B4-BE49-F238E27FC236}">
              <a16:creationId xmlns:a16="http://schemas.microsoft.com/office/drawing/2014/main" id="{7B4A44ED-3D61-4222-AC8D-557E95DCF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3" name="image1.png">
          <a:extLst>
            <a:ext uri="{FF2B5EF4-FFF2-40B4-BE49-F238E27FC236}">
              <a16:creationId xmlns:a16="http://schemas.microsoft.com/office/drawing/2014/main" id="{BD814249-E60A-47A3-9C17-2F98113F1C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4" name="image1.png">
          <a:extLst>
            <a:ext uri="{FF2B5EF4-FFF2-40B4-BE49-F238E27FC236}">
              <a16:creationId xmlns:a16="http://schemas.microsoft.com/office/drawing/2014/main" id="{93F2B37E-845B-466F-8100-06EA34581D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5" name="image1.png">
          <a:extLst>
            <a:ext uri="{FF2B5EF4-FFF2-40B4-BE49-F238E27FC236}">
              <a16:creationId xmlns:a16="http://schemas.microsoft.com/office/drawing/2014/main" id="{4953AB1D-F58C-4FBC-96C3-76102BC101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6" name="image1.png">
          <a:extLst>
            <a:ext uri="{FF2B5EF4-FFF2-40B4-BE49-F238E27FC236}">
              <a16:creationId xmlns:a16="http://schemas.microsoft.com/office/drawing/2014/main" id="{70EE4985-A47C-433D-A9BB-68C9E06D7B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7" name="image1.png">
          <a:extLst>
            <a:ext uri="{FF2B5EF4-FFF2-40B4-BE49-F238E27FC236}">
              <a16:creationId xmlns:a16="http://schemas.microsoft.com/office/drawing/2014/main" id="{422F92D0-B6D6-4216-B9AF-5B3631FF12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8" name="image1.png">
          <a:extLst>
            <a:ext uri="{FF2B5EF4-FFF2-40B4-BE49-F238E27FC236}">
              <a16:creationId xmlns:a16="http://schemas.microsoft.com/office/drawing/2014/main" id="{870B2EE4-2CCA-4D36-9404-58D818D9AB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59" name="image1.png">
          <a:extLst>
            <a:ext uri="{FF2B5EF4-FFF2-40B4-BE49-F238E27FC236}">
              <a16:creationId xmlns:a16="http://schemas.microsoft.com/office/drawing/2014/main" id="{C96C3B2A-77AF-40D9-A6B0-4258FB8BD2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0" name="image1.png">
          <a:extLst>
            <a:ext uri="{FF2B5EF4-FFF2-40B4-BE49-F238E27FC236}">
              <a16:creationId xmlns:a16="http://schemas.microsoft.com/office/drawing/2014/main" id="{321A0CD9-5FD1-4CB8-8886-F7D289AA25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1" name="image1.png">
          <a:extLst>
            <a:ext uri="{FF2B5EF4-FFF2-40B4-BE49-F238E27FC236}">
              <a16:creationId xmlns:a16="http://schemas.microsoft.com/office/drawing/2014/main" id="{640868B2-4C30-4484-9AAA-A0299FEAE8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2" name="image1.png">
          <a:extLst>
            <a:ext uri="{FF2B5EF4-FFF2-40B4-BE49-F238E27FC236}">
              <a16:creationId xmlns:a16="http://schemas.microsoft.com/office/drawing/2014/main" id="{CA2753B4-4A05-4009-90C1-6FED3FFC27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3" name="image1.png">
          <a:extLst>
            <a:ext uri="{FF2B5EF4-FFF2-40B4-BE49-F238E27FC236}">
              <a16:creationId xmlns:a16="http://schemas.microsoft.com/office/drawing/2014/main" id="{CE5AFDA3-1CEC-4424-A7B7-A4FA101859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4" name="image1.png">
          <a:extLst>
            <a:ext uri="{FF2B5EF4-FFF2-40B4-BE49-F238E27FC236}">
              <a16:creationId xmlns:a16="http://schemas.microsoft.com/office/drawing/2014/main" id="{4670A738-918D-4249-A0F6-6F10FEAC7E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5" name="image1.png">
          <a:extLst>
            <a:ext uri="{FF2B5EF4-FFF2-40B4-BE49-F238E27FC236}">
              <a16:creationId xmlns:a16="http://schemas.microsoft.com/office/drawing/2014/main" id="{47394473-1CC8-4B59-9D22-7BD616B99E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6" name="image1.png">
          <a:extLst>
            <a:ext uri="{FF2B5EF4-FFF2-40B4-BE49-F238E27FC236}">
              <a16:creationId xmlns:a16="http://schemas.microsoft.com/office/drawing/2014/main" id="{1866B5BC-6E8C-4902-90A3-1E1F6CB30A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7" name="image1.png">
          <a:extLst>
            <a:ext uri="{FF2B5EF4-FFF2-40B4-BE49-F238E27FC236}">
              <a16:creationId xmlns:a16="http://schemas.microsoft.com/office/drawing/2014/main" id="{FEE62F9A-4832-42F9-9545-EB7CDCD1ED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8" name="image1.png">
          <a:extLst>
            <a:ext uri="{FF2B5EF4-FFF2-40B4-BE49-F238E27FC236}">
              <a16:creationId xmlns:a16="http://schemas.microsoft.com/office/drawing/2014/main" id="{09AB1334-C46D-4CE6-8B5C-B8A00CDF19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69" name="image1.png">
          <a:extLst>
            <a:ext uri="{FF2B5EF4-FFF2-40B4-BE49-F238E27FC236}">
              <a16:creationId xmlns:a16="http://schemas.microsoft.com/office/drawing/2014/main" id="{310A9827-EA8C-4F01-ABD3-CA14A1493A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0" name="image1.png">
          <a:extLst>
            <a:ext uri="{FF2B5EF4-FFF2-40B4-BE49-F238E27FC236}">
              <a16:creationId xmlns:a16="http://schemas.microsoft.com/office/drawing/2014/main" id="{773CD0F8-B211-4823-BB28-C849867F9A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1" name="image1.png">
          <a:extLst>
            <a:ext uri="{FF2B5EF4-FFF2-40B4-BE49-F238E27FC236}">
              <a16:creationId xmlns:a16="http://schemas.microsoft.com/office/drawing/2014/main" id="{E1DB9886-C834-4646-BAD3-DA83DB4CD3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2" name="image1.png">
          <a:extLst>
            <a:ext uri="{FF2B5EF4-FFF2-40B4-BE49-F238E27FC236}">
              <a16:creationId xmlns:a16="http://schemas.microsoft.com/office/drawing/2014/main" id="{5FCA11EC-86A4-4E44-9550-8AABD46C35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3" name="image1.png">
          <a:extLst>
            <a:ext uri="{FF2B5EF4-FFF2-40B4-BE49-F238E27FC236}">
              <a16:creationId xmlns:a16="http://schemas.microsoft.com/office/drawing/2014/main" id="{CDD0CD1E-A90E-406E-9669-2FD7BCA58C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4" name="image1.png">
          <a:extLst>
            <a:ext uri="{FF2B5EF4-FFF2-40B4-BE49-F238E27FC236}">
              <a16:creationId xmlns:a16="http://schemas.microsoft.com/office/drawing/2014/main" id="{E91AC4B1-A2ED-485C-9D55-B368FFEB6A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5" name="image1.png">
          <a:extLst>
            <a:ext uri="{FF2B5EF4-FFF2-40B4-BE49-F238E27FC236}">
              <a16:creationId xmlns:a16="http://schemas.microsoft.com/office/drawing/2014/main" id="{3A97EE3B-DD82-4D90-851C-CD8D34343D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6" name="image1.png">
          <a:extLst>
            <a:ext uri="{FF2B5EF4-FFF2-40B4-BE49-F238E27FC236}">
              <a16:creationId xmlns:a16="http://schemas.microsoft.com/office/drawing/2014/main" id="{90A8E402-FCD9-41DE-AA48-E78FBB7259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7" name="image1.png">
          <a:extLst>
            <a:ext uri="{FF2B5EF4-FFF2-40B4-BE49-F238E27FC236}">
              <a16:creationId xmlns:a16="http://schemas.microsoft.com/office/drawing/2014/main" id="{D73C4BA3-7DAC-436C-AF7A-BDA74A8380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8" name="image1.png">
          <a:extLst>
            <a:ext uri="{FF2B5EF4-FFF2-40B4-BE49-F238E27FC236}">
              <a16:creationId xmlns:a16="http://schemas.microsoft.com/office/drawing/2014/main" id="{D9FDDFC6-ADBC-4D82-A344-1A704660E0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79" name="image1.png">
          <a:extLst>
            <a:ext uri="{FF2B5EF4-FFF2-40B4-BE49-F238E27FC236}">
              <a16:creationId xmlns:a16="http://schemas.microsoft.com/office/drawing/2014/main" id="{BFF838B2-737F-473C-B368-25136E9CB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0" name="image1.png">
          <a:extLst>
            <a:ext uri="{FF2B5EF4-FFF2-40B4-BE49-F238E27FC236}">
              <a16:creationId xmlns:a16="http://schemas.microsoft.com/office/drawing/2014/main" id="{69F623D7-B6E2-49E5-A17B-41149AB108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1" name="image1.png">
          <a:extLst>
            <a:ext uri="{FF2B5EF4-FFF2-40B4-BE49-F238E27FC236}">
              <a16:creationId xmlns:a16="http://schemas.microsoft.com/office/drawing/2014/main" id="{27470408-B481-40F0-988E-7895A30ABC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2" name="image1.png">
          <a:extLst>
            <a:ext uri="{FF2B5EF4-FFF2-40B4-BE49-F238E27FC236}">
              <a16:creationId xmlns:a16="http://schemas.microsoft.com/office/drawing/2014/main" id="{ED4E2DF2-6B3B-4E25-A422-C488721FDC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3" name="image1.png">
          <a:extLst>
            <a:ext uri="{FF2B5EF4-FFF2-40B4-BE49-F238E27FC236}">
              <a16:creationId xmlns:a16="http://schemas.microsoft.com/office/drawing/2014/main" id="{496CB798-DDAC-42C2-BD8E-221842453F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4" name="image1.png">
          <a:extLst>
            <a:ext uri="{FF2B5EF4-FFF2-40B4-BE49-F238E27FC236}">
              <a16:creationId xmlns:a16="http://schemas.microsoft.com/office/drawing/2014/main" id="{4329AEC2-82A7-4CD6-A91E-2DA29EC19E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5" name="image1.png">
          <a:extLst>
            <a:ext uri="{FF2B5EF4-FFF2-40B4-BE49-F238E27FC236}">
              <a16:creationId xmlns:a16="http://schemas.microsoft.com/office/drawing/2014/main" id="{995E76EE-36CB-4BDC-B20F-68BF39AEAD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6" name="image1.png">
          <a:extLst>
            <a:ext uri="{FF2B5EF4-FFF2-40B4-BE49-F238E27FC236}">
              <a16:creationId xmlns:a16="http://schemas.microsoft.com/office/drawing/2014/main" id="{2A035723-AB17-4841-A22C-3B0127ABC7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7" name="image1.png">
          <a:extLst>
            <a:ext uri="{FF2B5EF4-FFF2-40B4-BE49-F238E27FC236}">
              <a16:creationId xmlns:a16="http://schemas.microsoft.com/office/drawing/2014/main" id="{2D207B0E-9120-4C00-875F-62F77A1370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8" name="image1.png">
          <a:extLst>
            <a:ext uri="{FF2B5EF4-FFF2-40B4-BE49-F238E27FC236}">
              <a16:creationId xmlns:a16="http://schemas.microsoft.com/office/drawing/2014/main" id="{56EBE92C-A1F7-4D62-BA8A-FFE034578D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89" name="image1.png">
          <a:extLst>
            <a:ext uri="{FF2B5EF4-FFF2-40B4-BE49-F238E27FC236}">
              <a16:creationId xmlns:a16="http://schemas.microsoft.com/office/drawing/2014/main" id="{798581A2-39D4-4E01-A0C9-B1B4399AFA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0" name="image1.png">
          <a:extLst>
            <a:ext uri="{FF2B5EF4-FFF2-40B4-BE49-F238E27FC236}">
              <a16:creationId xmlns:a16="http://schemas.microsoft.com/office/drawing/2014/main" id="{602153B2-037F-4FD0-B1FC-AA6CDBDABB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1" name="image1.png">
          <a:extLst>
            <a:ext uri="{FF2B5EF4-FFF2-40B4-BE49-F238E27FC236}">
              <a16:creationId xmlns:a16="http://schemas.microsoft.com/office/drawing/2014/main" id="{7180D418-CF1E-46A8-816C-518C9C2ED2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2" name="image1.png">
          <a:extLst>
            <a:ext uri="{FF2B5EF4-FFF2-40B4-BE49-F238E27FC236}">
              <a16:creationId xmlns:a16="http://schemas.microsoft.com/office/drawing/2014/main" id="{120BE713-89F6-4FF3-95FC-4F25E899C3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3" name="image1.png">
          <a:extLst>
            <a:ext uri="{FF2B5EF4-FFF2-40B4-BE49-F238E27FC236}">
              <a16:creationId xmlns:a16="http://schemas.microsoft.com/office/drawing/2014/main" id="{5D85546E-FA57-4B39-A91E-1C82F82BB4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4" name="image1.png">
          <a:extLst>
            <a:ext uri="{FF2B5EF4-FFF2-40B4-BE49-F238E27FC236}">
              <a16:creationId xmlns:a16="http://schemas.microsoft.com/office/drawing/2014/main" id="{18DAD0D8-CC6D-4410-A10D-B67C4D8723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5" name="image1.png">
          <a:extLst>
            <a:ext uri="{FF2B5EF4-FFF2-40B4-BE49-F238E27FC236}">
              <a16:creationId xmlns:a16="http://schemas.microsoft.com/office/drawing/2014/main" id="{244DCE82-E0D0-459F-8C24-C46F59C1C5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6" name="image1.png">
          <a:extLst>
            <a:ext uri="{FF2B5EF4-FFF2-40B4-BE49-F238E27FC236}">
              <a16:creationId xmlns:a16="http://schemas.microsoft.com/office/drawing/2014/main" id="{6218A009-A450-445D-B1B0-2BA517DDF4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7" name="image1.png">
          <a:extLst>
            <a:ext uri="{FF2B5EF4-FFF2-40B4-BE49-F238E27FC236}">
              <a16:creationId xmlns:a16="http://schemas.microsoft.com/office/drawing/2014/main" id="{BA3553C7-E5E2-4262-B255-C9237BD2C5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8" name="image1.png">
          <a:extLst>
            <a:ext uri="{FF2B5EF4-FFF2-40B4-BE49-F238E27FC236}">
              <a16:creationId xmlns:a16="http://schemas.microsoft.com/office/drawing/2014/main" id="{53E79661-87AB-4413-B462-5B3F7FF4D4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699" name="image1.png">
          <a:extLst>
            <a:ext uri="{FF2B5EF4-FFF2-40B4-BE49-F238E27FC236}">
              <a16:creationId xmlns:a16="http://schemas.microsoft.com/office/drawing/2014/main" id="{D2EFB505-2EB5-442B-AE2C-F040FDE69F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0" name="image1.png">
          <a:extLst>
            <a:ext uri="{FF2B5EF4-FFF2-40B4-BE49-F238E27FC236}">
              <a16:creationId xmlns:a16="http://schemas.microsoft.com/office/drawing/2014/main" id="{15B1E6EF-65D7-4CD4-8BA2-DF7C911653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1" name="image1.png">
          <a:extLst>
            <a:ext uri="{FF2B5EF4-FFF2-40B4-BE49-F238E27FC236}">
              <a16:creationId xmlns:a16="http://schemas.microsoft.com/office/drawing/2014/main" id="{1F19BE70-DE72-44AF-80F2-C217E01C86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2" name="image1.png">
          <a:extLst>
            <a:ext uri="{FF2B5EF4-FFF2-40B4-BE49-F238E27FC236}">
              <a16:creationId xmlns:a16="http://schemas.microsoft.com/office/drawing/2014/main" id="{71D644A2-F6B4-4DBA-96C4-293BDE9C65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3" name="image1.png">
          <a:extLst>
            <a:ext uri="{FF2B5EF4-FFF2-40B4-BE49-F238E27FC236}">
              <a16:creationId xmlns:a16="http://schemas.microsoft.com/office/drawing/2014/main" id="{A45F2E4E-3079-4060-A735-9E29CE7B6E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4" name="image1.png">
          <a:extLst>
            <a:ext uri="{FF2B5EF4-FFF2-40B4-BE49-F238E27FC236}">
              <a16:creationId xmlns:a16="http://schemas.microsoft.com/office/drawing/2014/main" id="{06D1CAE2-FE52-446F-B071-FA825FC7D6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5" name="image1.png">
          <a:extLst>
            <a:ext uri="{FF2B5EF4-FFF2-40B4-BE49-F238E27FC236}">
              <a16:creationId xmlns:a16="http://schemas.microsoft.com/office/drawing/2014/main" id="{66818AEE-D55D-4FD4-B048-006E2B9E2C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6" name="image1.png">
          <a:extLst>
            <a:ext uri="{FF2B5EF4-FFF2-40B4-BE49-F238E27FC236}">
              <a16:creationId xmlns:a16="http://schemas.microsoft.com/office/drawing/2014/main" id="{6E8A684F-D415-43F3-90E9-56A4B237AA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7" name="image1.png">
          <a:extLst>
            <a:ext uri="{FF2B5EF4-FFF2-40B4-BE49-F238E27FC236}">
              <a16:creationId xmlns:a16="http://schemas.microsoft.com/office/drawing/2014/main" id="{4C419A37-6997-45AE-A9A6-0C2FCFF19E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8" name="image1.png">
          <a:extLst>
            <a:ext uri="{FF2B5EF4-FFF2-40B4-BE49-F238E27FC236}">
              <a16:creationId xmlns:a16="http://schemas.microsoft.com/office/drawing/2014/main" id="{9F5025A5-3717-4D57-960E-7E009BDD8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09" name="image1.png">
          <a:extLst>
            <a:ext uri="{FF2B5EF4-FFF2-40B4-BE49-F238E27FC236}">
              <a16:creationId xmlns:a16="http://schemas.microsoft.com/office/drawing/2014/main" id="{0B32768E-3DA3-4E95-A089-77D5025AEF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0" name="image1.png">
          <a:extLst>
            <a:ext uri="{FF2B5EF4-FFF2-40B4-BE49-F238E27FC236}">
              <a16:creationId xmlns:a16="http://schemas.microsoft.com/office/drawing/2014/main" id="{2FE6F488-8B49-4D4D-87C9-0BB38C4897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1" name="image1.png">
          <a:extLst>
            <a:ext uri="{FF2B5EF4-FFF2-40B4-BE49-F238E27FC236}">
              <a16:creationId xmlns:a16="http://schemas.microsoft.com/office/drawing/2014/main" id="{82CDBE9E-0FAD-4679-BCF1-7C2FAB82B7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2" name="image1.png">
          <a:extLst>
            <a:ext uri="{FF2B5EF4-FFF2-40B4-BE49-F238E27FC236}">
              <a16:creationId xmlns:a16="http://schemas.microsoft.com/office/drawing/2014/main" id="{9280A43C-B329-4EF0-83B8-8E6AA549F5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3" name="image1.png">
          <a:extLst>
            <a:ext uri="{FF2B5EF4-FFF2-40B4-BE49-F238E27FC236}">
              <a16:creationId xmlns:a16="http://schemas.microsoft.com/office/drawing/2014/main" id="{B86763EB-1D2F-4266-8FF7-8BC0470306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4" name="image1.png">
          <a:extLst>
            <a:ext uri="{FF2B5EF4-FFF2-40B4-BE49-F238E27FC236}">
              <a16:creationId xmlns:a16="http://schemas.microsoft.com/office/drawing/2014/main" id="{CEC3DDCA-9FA9-437F-8C40-2B52C8800E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5" name="image1.png">
          <a:extLst>
            <a:ext uri="{FF2B5EF4-FFF2-40B4-BE49-F238E27FC236}">
              <a16:creationId xmlns:a16="http://schemas.microsoft.com/office/drawing/2014/main" id="{DE8820BC-B292-4F15-96E9-69C17384A7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6" name="image1.png">
          <a:extLst>
            <a:ext uri="{FF2B5EF4-FFF2-40B4-BE49-F238E27FC236}">
              <a16:creationId xmlns:a16="http://schemas.microsoft.com/office/drawing/2014/main" id="{F3640C9D-9282-44ED-82C7-4242C04A0E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7" name="image1.png">
          <a:extLst>
            <a:ext uri="{FF2B5EF4-FFF2-40B4-BE49-F238E27FC236}">
              <a16:creationId xmlns:a16="http://schemas.microsoft.com/office/drawing/2014/main" id="{539FEF44-B04F-4A0C-84D0-FA368D3DBF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8" name="image1.png">
          <a:extLst>
            <a:ext uri="{FF2B5EF4-FFF2-40B4-BE49-F238E27FC236}">
              <a16:creationId xmlns:a16="http://schemas.microsoft.com/office/drawing/2014/main" id="{709B3FC7-80B0-4040-9840-1D99A7C31D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19" name="image1.png">
          <a:extLst>
            <a:ext uri="{FF2B5EF4-FFF2-40B4-BE49-F238E27FC236}">
              <a16:creationId xmlns:a16="http://schemas.microsoft.com/office/drawing/2014/main" id="{BC87B447-B04F-40BC-B149-7BF31479BC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0" name="image1.png">
          <a:extLst>
            <a:ext uri="{FF2B5EF4-FFF2-40B4-BE49-F238E27FC236}">
              <a16:creationId xmlns:a16="http://schemas.microsoft.com/office/drawing/2014/main" id="{D5AC1A63-E7AB-4B0E-8B2F-5CC192528A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1" name="image1.png">
          <a:extLst>
            <a:ext uri="{FF2B5EF4-FFF2-40B4-BE49-F238E27FC236}">
              <a16:creationId xmlns:a16="http://schemas.microsoft.com/office/drawing/2014/main" id="{A9E4884C-8215-4DE7-AE08-1C9F7CC04D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2" name="image1.png">
          <a:extLst>
            <a:ext uri="{FF2B5EF4-FFF2-40B4-BE49-F238E27FC236}">
              <a16:creationId xmlns:a16="http://schemas.microsoft.com/office/drawing/2014/main" id="{D3F95A4A-956F-4E2B-905A-0ACB61F41E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3" name="image1.png">
          <a:extLst>
            <a:ext uri="{FF2B5EF4-FFF2-40B4-BE49-F238E27FC236}">
              <a16:creationId xmlns:a16="http://schemas.microsoft.com/office/drawing/2014/main" id="{4DF48E2E-6134-42BB-ABFC-1A3E5CDD5C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4" name="image1.png">
          <a:extLst>
            <a:ext uri="{FF2B5EF4-FFF2-40B4-BE49-F238E27FC236}">
              <a16:creationId xmlns:a16="http://schemas.microsoft.com/office/drawing/2014/main" id="{5FAA347C-7A4F-45DA-B579-888994310C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5" name="image1.png">
          <a:extLst>
            <a:ext uri="{FF2B5EF4-FFF2-40B4-BE49-F238E27FC236}">
              <a16:creationId xmlns:a16="http://schemas.microsoft.com/office/drawing/2014/main" id="{20F5372B-433C-4453-B61C-1942B9C256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6" name="image1.png">
          <a:extLst>
            <a:ext uri="{FF2B5EF4-FFF2-40B4-BE49-F238E27FC236}">
              <a16:creationId xmlns:a16="http://schemas.microsoft.com/office/drawing/2014/main" id="{2211F761-0BC7-453C-87BC-E6DC0869B9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7" name="image1.png">
          <a:extLst>
            <a:ext uri="{FF2B5EF4-FFF2-40B4-BE49-F238E27FC236}">
              <a16:creationId xmlns:a16="http://schemas.microsoft.com/office/drawing/2014/main" id="{0522119D-7166-4F3C-A34A-84DC8DE9E5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8" name="image1.png">
          <a:extLst>
            <a:ext uri="{FF2B5EF4-FFF2-40B4-BE49-F238E27FC236}">
              <a16:creationId xmlns:a16="http://schemas.microsoft.com/office/drawing/2014/main" id="{9F57DE7D-5F3C-472D-8B52-B72DE71C02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29" name="image1.png">
          <a:extLst>
            <a:ext uri="{FF2B5EF4-FFF2-40B4-BE49-F238E27FC236}">
              <a16:creationId xmlns:a16="http://schemas.microsoft.com/office/drawing/2014/main" id="{D94D2EEF-F2E8-402A-9918-8F06869183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0" name="image1.png">
          <a:extLst>
            <a:ext uri="{FF2B5EF4-FFF2-40B4-BE49-F238E27FC236}">
              <a16:creationId xmlns:a16="http://schemas.microsoft.com/office/drawing/2014/main" id="{83C92E1F-6154-441A-B450-EC5264DA1D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1" name="image1.png">
          <a:extLst>
            <a:ext uri="{FF2B5EF4-FFF2-40B4-BE49-F238E27FC236}">
              <a16:creationId xmlns:a16="http://schemas.microsoft.com/office/drawing/2014/main" id="{8353E009-86D1-409E-996B-40C3DB1194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2" name="image1.png">
          <a:extLst>
            <a:ext uri="{FF2B5EF4-FFF2-40B4-BE49-F238E27FC236}">
              <a16:creationId xmlns:a16="http://schemas.microsoft.com/office/drawing/2014/main" id="{58C8B843-A5AD-4C38-8805-B52362A409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3" name="image1.png">
          <a:extLst>
            <a:ext uri="{FF2B5EF4-FFF2-40B4-BE49-F238E27FC236}">
              <a16:creationId xmlns:a16="http://schemas.microsoft.com/office/drawing/2014/main" id="{834B4DB0-F536-472D-9D2F-434E47D9D5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4" name="image1.png">
          <a:extLst>
            <a:ext uri="{FF2B5EF4-FFF2-40B4-BE49-F238E27FC236}">
              <a16:creationId xmlns:a16="http://schemas.microsoft.com/office/drawing/2014/main" id="{35B5EB00-6DF4-473D-9F6E-9D92EAD3D7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5" name="image1.png">
          <a:extLst>
            <a:ext uri="{FF2B5EF4-FFF2-40B4-BE49-F238E27FC236}">
              <a16:creationId xmlns:a16="http://schemas.microsoft.com/office/drawing/2014/main" id="{4D3967EA-2C4A-4830-8204-BD8C3CD829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6" name="image1.png">
          <a:extLst>
            <a:ext uri="{FF2B5EF4-FFF2-40B4-BE49-F238E27FC236}">
              <a16:creationId xmlns:a16="http://schemas.microsoft.com/office/drawing/2014/main" id="{7F3608B5-6F29-4A16-A56F-3CFB35EC0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7" name="image1.png">
          <a:extLst>
            <a:ext uri="{FF2B5EF4-FFF2-40B4-BE49-F238E27FC236}">
              <a16:creationId xmlns:a16="http://schemas.microsoft.com/office/drawing/2014/main" id="{C0AB7C0E-3947-4787-AB83-823C30B9E4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8" name="image1.png">
          <a:extLst>
            <a:ext uri="{FF2B5EF4-FFF2-40B4-BE49-F238E27FC236}">
              <a16:creationId xmlns:a16="http://schemas.microsoft.com/office/drawing/2014/main" id="{7E801647-1F11-459D-9A12-60124052C2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39" name="image1.png">
          <a:extLst>
            <a:ext uri="{FF2B5EF4-FFF2-40B4-BE49-F238E27FC236}">
              <a16:creationId xmlns:a16="http://schemas.microsoft.com/office/drawing/2014/main" id="{79D6B0CA-6C44-48E5-A4CE-E1465DAA97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0" name="image1.png">
          <a:extLst>
            <a:ext uri="{FF2B5EF4-FFF2-40B4-BE49-F238E27FC236}">
              <a16:creationId xmlns:a16="http://schemas.microsoft.com/office/drawing/2014/main" id="{D834CD1C-BA5A-463E-B02A-50C5B6C217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1" name="image1.png">
          <a:extLst>
            <a:ext uri="{FF2B5EF4-FFF2-40B4-BE49-F238E27FC236}">
              <a16:creationId xmlns:a16="http://schemas.microsoft.com/office/drawing/2014/main" id="{241BC8CF-9DA6-4EDB-B9A4-1D4FDD34C7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2" name="image1.png">
          <a:extLst>
            <a:ext uri="{FF2B5EF4-FFF2-40B4-BE49-F238E27FC236}">
              <a16:creationId xmlns:a16="http://schemas.microsoft.com/office/drawing/2014/main" id="{90D3E3AE-292F-4595-BD9F-9F5B2F9233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3" name="image1.png">
          <a:extLst>
            <a:ext uri="{FF2B5EF4-FFF2-40B4-BE49-F238E27FC236}">
              <a16:creationId xmlns:a16="http://schemas.microsoft.com/office/drawing/2014/main" id="{C7C84C20-490B-443B-AA94-23E00C6C56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4" name="image1.png">
          <a:extLst>
            <a:ext uri="{FF2B5EF4-FFF2-40B4-BE49-F238E27FC236}">
              <a16:creationId xmlns:a16="http://schemas.microsoft.com/office/drawing/2014/main" id="{585A27D5-1639-4CA9-99C2-739D91F3E6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5" name="image1.png">
          <a:extLst>
            <a:ext uri="{FF2B5EF4-FFF2-40B4-BE49-F238E27FC236}">
              <a16:creationId xmlns:a16="http://schemas.microsoft.com/office/drawing/2014/main" id="{E2712316-98A0-4A3C-9CD3-09F03DA58B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6" name="image1.png">
          <a:extLst>
            <a:ext uri="{FF2B5EF4-FFF2-40B4-BE49-F238E27FC236}">
              <a16:creationId xmlns:a16="http://schemas.microsoft.com/office/drawing/2014/main" id="{0144D369-C17C-4D72-8A15-5B1A8E416E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7" name="image1.png">
          <a:extLst>
            <a:ext uri="{FF2B5EF4-FFF2-40B4-BE49-F238E27FC236}">
              <a16:creationId xmlns:a16="http://schemas.microsoft.com/office/drawing/2014/main" id="{22900053-37C6-4D97-B857-8617239D19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8" name="image1.png">
          <a:extLst>
            <a:ext uri="{FF2B5EF4-FFF2-40B4-BE49-F238E27FC236}">
              <a16:creationId xmlns:a16="http://schemas.microsoft.com/office/drawing/2014/main" id="{8B999406-2A81-4C0C-A053-E3C7125173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49" name="image1.png">
          <a:extLst>
            <a:ext uri="{FF2B5EF4-FFF2-40B4-BE49-F238E27FC236}">
              <a16:creationId xmlns:a16="http://schemas.microsoft.com/office/drawing/2014/main" id="{596178A2-F52E-4C0E-8F5A-C2A0B407A0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0" name="image1.png">
          <a:extLst>
            <a:ext uri="{FF2B5EF4-FFF2-40B4-BE49-F238E27FC236}">
              <a16:creationId xmlns:a16="http://schemas.microsoft.com/office/drawing/2014/main" id="{3368467F-CB6A-4D2D-8DCB-2A0ACA6CDB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1" name="image1.png">
          <a:extLst>
            <a:ext uri="{FF2B5EF4-FFF2-40B4-BE49-F238E27FC236}">
              <a16:creationId xmlns:a16="http://schemas.microsoft.com/office/drawing/2014/main" id="{6E6761D4-DF77-43F8-8EE3-EFBB33FE23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2" name="image1.png">
          <a:extLst>
            <a:ext uri="{FF2B5EF4-FFF2-40B4-BE49-F238E27FC236}">
              <a16:creationId xmlns:a16="http://schemas.microsoft.com/office/drawing/2014/main" id="{2DAA6BE6-2311-48DF-A7D0-73243F25D8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3" name="image1.png">
          <a:extLst>
            <a:ext uri="{FF2B5EF4-FFF2-40B4-BE49-F238E27FC236}">
              <a16:creationId xmlns:a16="http://schemas.microsoft.com/office/drawing/2014/main" id="{B467E0C8-4F7D-488F-BB20-D0054A76DE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4" name="image1.png">
          <a:extLst>
            <a:ext uri="{FF2B5EF4-FFF2-40B4-BE49-F238E27FC236}">
              <a16:creationId xmlns:a16="http://schemas.microsoft.com/office/drawing/2014/main" id="{4ED6A1B1-B773-443F-BF37-A7B100DD6F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5" name="image1.png">
          <a:extLst>
            <a:ext uri="{FF2B5EF4-FFF2-40B4-BE49-F238E27FC236}">
              <a16:creationId xmlns:a16="http://schemas.microsoft.com/office/drawing/2014/main" id="{BE83AEF4-79DE-4804-8519-F084E2FE0B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6" name="image1.png">
          <a:extLst>
            <a:ext uri="{FF2B5EF4-FFF2-40B4-BE49-F238E27FC236}">
              <a16:creationId xmlns:a16="http://schemas.microsoft.com/office/drawing/2014/main" id="{7EFD0539-0A7E-4CB9-9E0D-0DD0061B62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7" name="image1.png">
          <a:extLst>
            <a:ext uri="{FF2B5EF4-FFF2-40B4-BE49-F238E27FC236}">
              <a16:creationId xmlns:a16="http://schemas.microsoft.com/office/drawing/2014/main" id="{F371C48F-6EBB-4702-8BAF-75EF589F6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8" name="image1.png">
          <a:extLst>
            <a:ext uri="{FF2B5EF4-FFF2-40B4-BE49-F238E27FC236}">
              <a16:creationId xmlns:a16="http://schemas.microsoft.com/office/drawing/2014/main" id="{E2E6AD49-C433-4E1B-B56C-7BB5C19426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59" name="image1.png">
          <a:extLst>
            <a:ext uri="{FF2B5EF4-FFF2-40B4-BE49-F238E27FC236}">
              <a16:creationId xmlns:a16="http://schemas.microsoft.com/office/drawing/2014/main" id="{64A2BF61-89D1-4DE6-9861-DB61E446C7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0" name="image1.png">
          <a:extLst>
            <a:ext uri="{FF2B5EF4-FFF2-40B4-BE49-F238E27FC236}">
              <a16:creationId xmlns:a16="http://schemas.microsoft.com/office/drawing/2014/main" id="{B802EC8D-0B57-4016-AE43-32BCFEE184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1" name="image1.png">
          <a:extLst>
            <a:ext uri="{FF2B5EF4-FFF2-40B4-BE49-F238E27FC236}">
              <a16:creationId xmlns:a16="http://schemas.microsoft.com/office/drawing/2014/main" id="{06B2BA8A-6C93-464B-8BE6-14BE5D5DAF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2" name="image1.png">
          <a:extLst>
            <a:ext uri="{FF2B5EF4-FFF2-40B4-BE49-F238E27FC236}">
              <a16:creationId xmlns:a16="http://schemas.microsoft.com/office/drawing/2014/main" id="{70EF748B-4B6B-4C92-9D89-7BB2CA2FDE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3" name="image1.png">
          <a:extLst>
            <a:ext uri="{FF2B5EF4-FFF2-40B4-BE49-F238E27FC236}">
              <a16:creationId xmlns:a16="http://schemas.microsoft.com/office/drawing/2014/main" id="{35DC62B2-6A72-4D50-B54B-1316A21655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4" name="image1.png">
          <a:extLst>
            <a:ext uri="{FF2B5EF4-FFF2-40B4-BE49-F238E27FC236}">
              <a16:creationId xmlns:a16="http://schemas.microsoft.com/office/drawing/2014/main" id="{84B515E6-7D6C-4E02-908C-9DDCFC4869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5" name="image1.png">
          <a:extLst>
            <a:ext uri="{FF2B5EF4-FFF2-40B4-BE49-F238E27FC236}">
              <a16:creationId xmlns:a16="http://schemas.microsoft.com/office/drawing/2014/main" id="{417C76C1-2748-48B3-A869-DDA5E66DC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6" name="image1.png">
          <a:extLst>
            <a:ext uri="{FF2B5EF4-FFF2-40B4-BE49-F238E27FC236}">
              <a16:creationId xmlns:a16="http://schemas.microsoft.com/office/drawing/2014/main" id="{FBC75C1A-5706-4FC2-A00A-B0E4A83B1C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7" name="image1.png">
          <a:extLst>
            <a:ext uri="{FF2B5EF4-FFF2-40B4-BE49-F238E27FC236}">
              <a16:creationId xmlns:a16="http://schemas.microsoft.com/office/drawing/2014/main" id="{542198C3-7324-4EB1-A926-E362DA17A5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8" name="image1.png">
          <a:extLst>
            <a:ext uri="{FF2B5EF4-FFF2-40B4-BE49-F238E27FC236}">
              <a16:creationId xmlns:a16="http://schemas.microsoft.com/office/drawing/2014/main" id="{62E29190-1019-45EA-8A6A-CB41C3F885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185238</xdr:colOff>
      <xdr:row>0</xdr:row>
      <xdr:rowOff>132716</xdr:rowOff>
    </xdr:from>
    <xdr:ext cx="2753903" cy="506820"/>
    <xdr:pic>
      <xdr:nvPicPr>
        <xdr:cNvPr id="769" name="image1.png">
          <a:extLst>
            <a:ext uri="{FF2B5EF4-FFF2-40B4-BE49-F238E27FC236}">
              <a16:creationId xmlns:a16="http://schemas.microsoft.com/office/drawing/2014/main" id="{D49F2FAF-F02F-4222-8E41-4A3F71BB93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716"/>
          <a:ext cx="2753903" cy="50682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&#7912;ng%20vi&#234;n%20d&#7921;%20&#225;n%20-%20Eva%20-%202026-07-10.xlsx" TargetMode="External"/><Relationship Id="rId1" Type="http://schemas.openxmlformats.org/officeDocument/2006/relationships/externalLinkPath" Target="file:///C:\Users\Dell\Downloads\&#7912;ng%20vi&#234;n%20d&#7921;%20&#225;n%20-%20Eva%20-%202026-07-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C&#212;NG%20%20T7%20VI&#7878;T%20PH&#193;P.xlsx" TargetMode="External"/><Relationship Id="rId1" Type="http://schemas.openxmlformats.org/officeDocument/2006/relationships/externalLinkPath" Target="file:///C:\Users\Dell\Downloads\C&#212;NG%20%20T7%20VI&#7878;T%20PH&#193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sách ứng viên"/>
    </sheetNames>
    <sheetDataSet>
      <sheetData sheetId="0">
        <row r="2">
          <cell r="B2" t="str">
            <v>031307008398</v>
          </cell>
          <cell r="C2" t="str">
            <v>Trần Thị Xuyên</v>
          </cell>
          <cell r="D2">
            <v>39264</v>
          </cell>
          <cell r="E2" t="str">
            <v>Nữ</v>
          </cell>
          <cell r="F2" t="str">
            <v>0363617606</v>
          </cell>
        </row>
        <row r="3">
          <cell r="B3" t="str">
            <v>031308013178</v>
          </cell>
          <cell r="C3" t="str">
            <v>Trần Thị Thảo</v>
          </cell>
          <cell r="D3">
            <v>39586</v>
          </cell>
          <cell r="E3" t="str">
            <v>Nữ</v>
          </cell>
          <cell r="F3" t="str">
            <v>0867284604</v>
          </cell>
        </row>
        <row r="4">
          <cell r="B4" t="str">
            <v>031181003163</v>
          </cell>
          <cell r="C4" t="str">
            <v>Phạm Thị Thu</v>
          </cell>
          <cell r="D4">
            <v>29935</v>
          </cell>
          <cell r="E4" t="str">
            <v>Nữ</v>
          </cell>
          <cell r="F4" t="str">
            <v>0912902129</v>
          </cell>
        </row>
        <row r="5">
          <cell r="B5" t="str">
            <v>031206011444</v>
          </cell>
          <cell r="C5" t="str">
            <v>Nguyễn Văn Luân</v>
          </cell>
          <cell r="D5">
            <v>38923</v>
          </cell>
          <cell r="E5" t="str">
            <v>Nam</v>
          </cell>
          <cell r="F5" t="str">
            <v>0362516961</v>
          </cell>
        </row>
        <row r="6">
          <cell r="B6" t="str">
            <v>031095010080</v>
          </cell>
          <cell r="C6" t="str">
            <v>Phạm Văn Công</v>
          </cell>
          <cell r="D6">
            <v>34844</v>
          </cell>
          <cell r="E6" t="str">
            <v>Nam</v>
          </cell>
          <cell r="F6" t="str">
            <v>0967942516</v>
          </cell>
        </row>
        <row r="7">
          <cell r="B7" t="str">
            <v>031208004799</v>
          </cell>
          <cell r="C7" t="str">
            <v>Hoàng Văn Nam</v>
          </cell>
          <cell r="D7">
            <v>39550</v>
          </cell>
          <cell r="E7" t="str">
            <v>Nam</v>
          </cell>
          <cell r="F7" t="str">
            <v>0397797607</v>
          </cell>
        </row>
        <row r="8">
          <cell r="B8" t="str">
            <v>031308002777</v>
          </cell>
          <cell r="C8" t="str">
            <v>Trần Thị Tuyền</v>
          </cell>
          <cell r="D8">
            <v>39576</v>
          </cell>
          <cell r="E8" t="str">
            <v>Nữ</v>
          </cell>
          <cell r="F8" t="str">
            <v>0862244684</v>
          </cell>
        </row>
        <row r="9">
          <cell r="B9" t="str">
            <v>040305000604</v>
          </cell>
          <cell r="C9" t="str">
            <v>Vi Thị Đan Lê</v>
          </cell>
          <cell r="D9">
            <v>38444</v>
          </cell>
          <cell r="E9" t="str">
            <v>Nữ</v>
          </cell>
          <cell r="F9" t="str">
            <v>0868773854</v>
          </cell>
        </row>
        <row r="10">
          <cell r="B10" t="str">
            <v>074206002393</v>
          </cell>
          <cell r="C10" t="str">
            <v>Nguyễn Văn Hà</v>
          </cell>
          <cell r="D10">
            <v>38885</v>
          </cell>
          <cell r="E10" t="str">
            <v>Nam</v>
          </cell>
          <cell r="F10" t="str">
            <v>0813239810</v>
          </cell>
        </row>
        <row r="11">
          <cell r="B11" t="str">
            <v>031206017956</v>
          </cell>
          <cell r="C11" t="str">
            <v>Nguyễn Bùi Bảo</v>
          </cell>
          <cell r="D11">
            <v>38970</v>
          </cell>
          <cell r="E11" t="str">
            <v>Nam</v>
          </cell>
          <cell r="F11" t="str">
            <v>0789368599</v>
          </cell>
        </row>
        <row r="12">
          <cell r="B12" t="str">
            <v>031079002683</v>
          </cell>
          <cell r="C12" t="str">
            <v>Đỗ Văn Phương</v>
          </cell>
          <cell r="D12">
            <v>29146</v>
          </cell>
          <cell r="E12" t="str">
            <v>Nam</v>
          </cell>
          <cell r="F12" t="str">
            <v>0310790026</v>
          </cell>
        </row>
        <row r="13">
          <cell r="B13" t="str">
            <v>031308015499</v>
          </cell>
          <cell r="C13" t="str">
            <v>Đào Thị Linh</v>
          </cell>
          <cell r="D13">
            <v>39448</v>
          </cell>
          <cell r="E13" t="str">
            <v>Nữ</v>
          </cell>
          <cell r="F13" t="str">
            <v>0356581576</v>
          </cell>
        </row>
        <row r="14">
          <cell r="B14" t="str">
            <v>031307016131</v>
          </cell>
          <cell r="C14" t="str">
            <v>Phạm Thị Thảo Vi</v>
          </cell>
          <cell r="D14">
            <v>39371</v>
          </cell>
          <cell r="E14" t="str">
            <v>Nữ</v>
          </cell>
          <cell r="F14" t="str">
            <v>0363710914</v>
          </cell>
        </row>
        <row r="15">
          <cell r="B15" t="str">
            <v>031308017237</v>
          </cell>
          <cell r="C15" t="str">
            <v>Nguyễn Thị Thùy Linh</v>
          </cell>
          <cell r="D15">
            <v>39577</v>
          </cell>
          <cell r="E15" t="str">
            <v>Nữ</v>
          </cell>
          <cell r="F15" t="str">
            <v>0363815780</v>
          </cell>
        </row>
        <row r="16">
          <cell r="B16" t="str">
            <v>031099004714</v>
          </cell>
          <cell r="C16" t="str">
            <v>Nguyễn Công Hoà</v>
          </cell>
          <cell r="D16">
            <v>36476</v>
          </cell>
          <cell r="E16" t="str">
            <v>Nam</v>
          </cell>
          <cell r="F16" t="str">
            <v>0387706662</v>
          </cell>
        </row>
        <row r="17">
          <cell r="B17" t="str">
            <v>020196001508</v>
          </cell>
          <cell r="C17" t="str">
            <v>Đường Thị Loan</v>
          </cell>
          <cell r="D17">
            <v>35145</v>
          </cell>
          <cell r="E17" t="str">
            <v>Nữ</v>
          </cell>
          <cell r="F17" t="str">
            <v>0398716722</v>
          </cell>
        </row>
        <row r="18">
          <cell r="B18" t="str">
            <v>040205005634</v>
          </cell>
          <cell r="C18" t="str">
            <v>Đậu Văn Thắng</v>
          </cell>
          <cell r="D18">
            <v>38439</v>
          </cell>
          <cell r="E18" t="str">
            <v>Nam</v>
          </cell>
          <cell r="F18" t="str">
            <v>0372667334</v>
          </cell>
        </row>
        <row r="19">
          <cell r="B19" t="str">
            <v>025304001859</v>
          </cell>
          <cell r="C19" t="str">
            <v>Đinh Thị Minh Hiền</v>
          </cell>
          <cell r="D19">
            <v>38093</v>
          </cell>
          <cell r="E19" t="str">
            <v>Nữ</v>
          </cell>
          <cell r="F19" t="str">
            <v>0382501604</v>
          </cell>
        </row>
        <row r="20">
          <cell r="B20" t="str">
            <v>040201007263</v>
          </cell>
          <cell r="C20" t="str">
            <v>Nguyễn Văn Tùng</v>
          </cell>
          <cell r="D20">
            <v>37196</v>
          </cell>
          <cell r="E20" t="str">
            <v>Nam</v>
          </cell>
          <cell r="F20" t="str">
            <v>0986192965</v>
          </cell>
        </row>
        <row r="21">
          <cell r="B21" t="str">
            <v>031206007165</v>
          </cell>
          <cell r="C21" t="str">
            <v>Bùi Văn Trường</v>
          </cell>
          <cell r="D21">
            <v>39037</v>
          </cell>
          <cell r="E21" t="str">
            <v>Nam</v>
          </cell>
          <cell r="F21" t="str">
            <v>0396897922</v>
          </cell>
        </row>
        <row r="22">
          <cell r="B22" t="str">
            <v>031207008941</v>
          </cell>
          <cell r="C22" t="str">
            <v>Phạm Thành Trung</v>
          </cell>
          <cell r="D22">
            <v>39264</v>
          </cell>
          <cell r="E22" t="str">
            <v>Nam</v>
          </cell>
          <cell r="F22" t="str">
            <v>0365585014</v>
          </cell>
        </row>
        <row r="23">
          <cell r="B23" t="str">
            <v>011206005799</v>
          </cell>
          <cell r="C23" t="str">
            <v>Lò Văn Châu</v>
          </cell>
          <cell r="D23">
            <v>38802</v>
          </cell>
          <cell r="E23" t="str">
            <v>Nam</v>
          </cell>
          <cell r="F23" t="str">
            <v>0978553273</v>
          </cell>
        </row>
        <row r="24">
          <cell r="B24" t="str">
            <v>031206004617</v>
          </cell>
          <cell r="C24" t="str">
            <v>Nguyễn Phú Quý</v>
          </cell>
          <cell r="D24">
            <v>38781</v>
          </cell>
          <cell r="E24" t="str">
            <v>Nam</v>
          </cell>
          <cell r="F24" t="str">
            <v>0846882256</v>
          </cell>
        </row>
        <row r="25">
          <cell r="B25" t="str">
            <v>031206007174</v>
          </cell>
          <cell r="C25" t="str">
            <v>Trần Xuân Lĩnh</v>
          </cell>
          <cell r="D25">
            <v>38858</v>
          </cell>
          <cell r="E25" t="str">
            <v>Nam</v>
          </cell>
          <cell r="F25" t="str">
            <v>0704485787</v>
          </cell>
        </row>
        <row r="26">
          <cell r="B26" t="str">
            <v>035080002491</v>
          </cell>
          <cell r="C26" t="str">
            <v>Tống Viết Trọng</v>
          </cell>
          <cell r="D26">
            <v>29225</v>
          </cell>
          <cell r="E26" t="str">
            <v>Nam</v>
          </cell>
          <cell r="F26" t="str">
            <v>0914456989</v>
          </cell>
        </row>
        <row r="27">
          <cell r="B27" t="str">
            <v>031207007198</v>
          </cell>
          <cell r="C27" t="str">
            <v>Nguyễn Công Phúc</v>
          </cell>
          <cell r="D27">
            <v>39409</v>
          </cell>
          <cell r="E27" t="str">
            <v>Nam</v>
          </cell>
          <cell r="F27" t="str">
            <v>0374521458</v>
          </cell>
        </row>
        <row r="28">
          <cell r="B28" t="str">
            <v>011307001455</v>
          </cell>
          <cell r="C28" t="str">
            <v>Quàng Thị Việt</v>
          </cell>
          <cell r="D28">
            <v>39442</v>
          </cell>
          <cell r="E28" t="str">
            <v>Nữ</v>
          </cell>
          <cell r="F28" t="str">
            <v>0989552341</v>
          </cell>
        </row>
        <row r="29">
          <cell r="B29" t="str">
            <v>011307001054</v>
          </cell>
          <cell r="C29" t="str">
            <v>Lò Thị Thu Hiền</v>
          </cell>
          <cell r="D29">
            <v>39162</v>
          </cell>
          <cell r="E29" t="str">
            <v>Nữ</v>
          </cell>
          <cell r="F29" t="str">
            <v>0355093321</v>
          </cell>
        </row>
        <row r="30">
          <cell r="B30" t="str">
            <v>031207010213</v>
          </cell>
          <cell r="C30" t="str">
            <v>Nguyễn Đăng Long</v>
          </cell>
          <cell r="D30">
            <v>39438</v>
          </cell>
          <cell r="E30" t="str">
            <v>Nam</v>
          </cell>
          <cell r="F30" t="str">
            <v>0702222122</v>
          </cell>
        </row>
        <row r="31">
          <cell r="B31" t="str">
            <v>011206002983</v>
          </cell>
          <cell r="C31" t="str">
            <v>Lò Tuấn Hùng</v>
          </cell>
          <cell r="D31">
            <v>38771</v>
          </cell>
          <cell r="E31" t="str">
            <v>Nam</v>
          </cell>
          <cell r="F31" t="str">
            <v>0859588509</v>
          </cell>
        </row>
        <row r="32">
          <cell r="B32" t="str">
            <v>031206007010</v>
          </cell>
          <cell r="C32" t="str">
            <v>Trần Văn Nam</v>
          </cell>
          <cell r="D32">
            <v>39082</v>
          </cell>
          <cell r="E32" t="str">
            <v>Nam</v>
          </cell>
          <cell r="F32" t="str">
            <v>0869440762</v>
          </cell>
        </row>
        <row r="33">
          <cell r="B33" t="str">
            <v>040191005847</v>
          </cell>
          <cell r="C33" t="str">
            <v>Kha Thi Xu Đa</v>
          </cell>
          <cell r="D33">
            <v>33552</v>
          </cell>
          <cell r="E33" t="str">
            <v>Nữ</v>
          </cell>
          <cell r="F33" t="str">
            <v>0335347870</v>
          </cell>
        </row>
        <row r="34">
          <cell r="B34" t="str">
            <v>031207014563</v>
          </cell>
          <cell r="C34" t="str">
            <v>Nguyễn Anh Vũ</v>
          </cell>
          <cell r="D34">
            <v>39136</v>
          </cell>
          <cell r="E34" t="str">
            <v>Nam</v>
          </cell>
          <cell r="F34" t="str">
            <v>0788230207</v>
          </cell>
        </row>
        <row r="35">
          <cell r="B35" t="str">
            <v>011308007990</v>
          </cell>
          <cell r="C35" t="str">
            <v>Lò Thị Hồng Nhung</v>
          </cell>
          <cell r="D35">
            <v>39619</v>
          </cell>
          <cell r="E35" t="str">
            <v>Nữ</v>
          </cell>
          <cell r="F35" t="str">
            <v>0342805967</v>
          </cell>
        </row>
        <row r="36">
          <cell r="B36" t="str">
            <v>031207009691</v>
          </cell>
          <cell r="C36" t="str">
            <v>Nguyễn Việt Cường</v>
          </cell>
          <cell r="D36">
            <v>39209</v>
          </cell>
          <cell r="E36" t="str">
            <v>Nữ</v>
          </cell>
          <cell r="F36" t="str">
            <v>0357719497</v>
          </cell>
        </row>
        <row r="37">
          <cell r="B37" t="str">
            <v>011189006733</v>
          </cell>
          <cell r="C37" t="str">
            <v>Tòng Thị Hướng</v>
          </cell>
          <cell r="D37">
            <v>32589</v>
          </cell>
          <cell r="E37" t="str">
            <v>Nữ</v>
          </cell>
          <cell r="F37" t="str">
            <v>0904344309</v>
          </cell>
        </row>
        <row r="38">
          <cell r="B38" t="str">
            <v>011192005836</v>
          </cell>
          <cell r="C38" t="str">
            <v>Lò Thị Hiêm</v>
          </cell>
          <cell r="D38">
            <v>33882</v>
          </cell>
          <cell r="E38" t="str">
            <v>Nữ</v>
          </cell>
          <cell r="F38" t="str">
            <v>0867948241</v>
          </cell>
        </row>
        <row r="39">
          <cell r="B39" t="str">
            <v>011090007416</v>
          </cell>
          <cell r="C39" t="str">
            <v>Lò Văn Hánh</v>
          </cell>
          <cell r="D39">
            <v>33106</v>
          </cell>
          <cell r="E39" t="str">
            <v>Nam</v>
          </cell>
          <cell r="F39" t="str">
            <v>0377214856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</sheetNames>
    <sheetDataSet>
      <sheetData sheetId="0">
        <row r="4">
          <cell r="C4" t="str">
            <v>TV000604</v>
          </cell>
          <cell r="P4"/>
        </row>
        <row r="5">
          <cell r="C5" t="str">
            <v>LV000028</v>
          </cell>
          <cell r="P5"/>
        </row>
        <row r="6">
          <cell r="C6" t="str">
            <v>LV000774</v>
          </cell>
          <cell r="P6"/>
        </row>
        <row r="7">
          <cell r="C7" t="str">
            <v>LV001007</v>
          </cell>
          <cell r="P7"/>
        </row>
        <row r="8">
          <cell r="C8" t="str">
            <v>LV001019</v>
          </cell>
          <cell r="P8"/>
        </row>
        <row r="9">
          <cell r="C9" t="str">
            <v>LV001022</v>
          </cell>
          <cell r="P9"/>
        </row>
        <row r="10">
          <cell r="C10" t="str">
            <v>LV001088</v>
          </cell>
          <cell r="P10"/>
        </row>
        <row r="11">
          <cell r="C11" t="str">
            <v>LV001092</v>
          </cell>
          <cell r="P11"/>
        </row>
        <row r="12">
          <cell r="C12" t="str">
            <v>LV001093</v>
          </cell>
          <cell r="P12"/>
        </row>
        <row r="13">
          <cell r="C13" t="str">
            <v>LV001095</v>
          </cell>
          <cell r="P13"/>
        </row>
        <row r="14">
          <cell r="C14" t="str">
            <v>LV001096</v>
          </cell>
          <cell r="P14"/>
        </row>
        <row r="15">
          <cell r="C15" t="str">
            <v>LV001130</v>
          </cell>
          <cell r="P15"/>
        </row>
        <row r="16">
          <cell r="C16" t="str">
            <v>LV001135</v>
          </cell>
          <cell r="P16"/>
        </row>
        <row r="17">
          <cell r="C17" t="str">
            <v>LV001136</v>
          </cell>
          <cell r="P17"/>
        </row>
        <row r="18">
          <cell r="C18" t="str">
            <v>LV001137</v>
          </cell>
          <cell r="P18"/>
        </row>
        <row r="19">
          <cell r="C19" t="str">
            <v>LV001139</v>
          </cell>
          <cell r="P19"/>
        </row>
        <row r="20">
          <cell r="C20" t="str">
            <v>LV001140</v>
          </cell>
          <cell r="P20"/>
        </row>
        <row r="21">
          <cell r="C21" t="str">
            <v>LV001141</v>
          </cell>
          <cell r="P21"/>
        </row>
        <row r="22">
          <cell r="C22" t="str">
            <v>LV001142</v>
          </cell>
          <cell r="P22"/>
        </row>
        <row r="23">
          <cell r="C23" t="str">
            <v>LV001143</v>
          </cell>
          <cell r="P23"/>
        </row>
        <row r="24">
          <cell r="C24" t="str">
            <v>LV001144</v>
          </cell>
          <cell r="P24"/>
        </row>
        <row r="25">
          <cell r="C25" t="str">
            <v>LV001148</v>
          </cell>
          <cell r="P25"/>
        </row>
        <row r="26">
          <cell r="C26" t="str">
            <v>LV001227</v>
          </cell>
          <cell r="P26"/>
        </row>
        <row r="27">
          <cell r="C27" t="str">
            <v>LV001240</v>
          </cell>
          <cell r="P27"/>
        </row>
        <row r="28">
          <cell r="C28" t="str">
            <v>LV001257</v>
          </cell>
          <cell r="P28"/>
        </row>
        <row r="29">
          <cell r="C29" t="str">
            <v>LV001263</v>
          </cell>
          <cell r="P29"/>
        </row>
        <row r="30">
          <cell r="C30" t="str">
            <v>LV001287</v>
          </cell>
          <cell r="P30"/>
        </row>
        <row r="31">
          <cell r="C31" t="str">
            <v>LV001288</v>
          </cell>
          <cell r="P31"/>
        </row>
        <row r="32">
          <cell r="C32" t="str">
            <v>LV001290</v>
          </cell>
          <cell r="P32"/>
        </row>
        <row r="33">
          <cell r="C33" t="str">
            <v>LV001291</v>
          </cell>
          <cell r="P33"/>
        </row>
        <row r="34">
          <cell r="C34" t="str">
            <v>LV001293</v>
          </cell>
          <cell r="P34"/>
        </row>
        <row r="35">
          <cell r="C35" t="str">
            <v>LV001294</v>
          </cell>
          <cell r="P35"/>
        </row>
        <row r="36">
          <cell r="C36" t="str">
            <v>LV000382</v>
          </cell>
          <cell r="P36"/>
        </row>
        <row r="37">
          <cell r="C37" t="str">
            <v>LV001082</v>
          </cell>
          <cell r="P37"/>
        </row>
        <row r="38">
          <cell r="C38" t="str">
            <v>LV001108</v>
          </cell>
          <cell r="P38"/>
        </row>
        <row r="39">
          <cell r="C39" t="str">
            <v>LV001229</v>
          </cell>
          <cell r="P39"/>
        </row>
        <row r="40">
          <cell r="C40" t="str">
            <v>LV001230</v>
          </cell>
          <cell r="P40"/>
        </row>
        <row r="41">
          <cell r="C41" t="str">
            <v>LV001232</v>
          </cell>
          <cell r="P41"/>
        </row>
        <row r="42">
          <cell r="C42" t="str">
            <v>LV001235</v>
          </cell>
          <cell r="P42"/>
        </row>
        <row r="43">
          <cell r="C43" t="str">
            <v>LV001236</v>
          </cell>
          <cell r="P43"/>
        </row>
        <row r="44">
          <cell r="C44" t="str">
            <v>LV001237</v>
          </cell>
          <cell r="P44"/>
        </row>
        <row r="45">
          <cell r="C45" t="str">
            <v>LV001238</v>
          </cell>
          <cell r="P45"/>
        </row>
        <row r="46">
          <cell r="C46" t="str">
            <v>LV001241</v>
          </cell>
          <cell r="P46"/>
        </row>
        <row r="47">
          <cell r="C47" t="str">
            <v>LV001258</v>
          </cell>
          <cell r="P47"/>
        </row>
        <row r="48">
          <cell r="C48" t="str">
            <v>LV001261</v>
          </cell>
          <cell r="P48"/>
        </row>
        <row r="49">
          <cell r="C49" t="str">
            <v>LV001292</v>
          </cell>
          <cell r="P49"/>
        </row>
        <row r="50">
          <cell r="C50"/>
          <cell r="P50">
            <v>0</v>
          </cell>
        </row>
        <row r="51">
          <cell r="C51" t="str">
            <v>TV000191</v>
          </cell>
          <cell r="P51"/>
        </row>
        <row r="52">
          <cell r="C52" t="str">
            <v>LV000384</v>
          </cell>
          <cell r="P52"/>
        </row>
        <row r="53">
          <cell r="C53" t="str">
            <v>LV000919</v>
          </cell>
          <cell r="P53"/>
        </row>
        <row r="54">
          <cell r="C54" t="str">
            <v>LV000922</v>
          </cell>
          <cell r="P54"/>
        </row>
        <row r="55">
          <cell r="C55" t="str">
            <v>LV001012</v>
          </cell>
          <cell r="P55"/>
        </row>
        <row r="56">
          <cell r="C56" t="str">
            <v>LV001013</v>
          </cell>
          <cell r="P56"/>
        </row>
        <row r="57">
          <cell r="C57" t="str">
            <v>LV001016</v>
          </cell>
          <cell r="P57"/>
        </row>
        <row r="58">
          <cell r="C58" t="str">
            <v>LV001017</v>
          </cell>
          <cell r="P58"/>
        </row>
        <row r="59">
          <cell r="C59" t="str">
            <v>LV001020</v>
          </cell>
          <cell r="P59"/>
        </row>
        <row r="60">
          <cell r="C60" t="str">
            <v>LV001021</v>
          </cell>
          <cell r="P60"/>
        </row>
        <row r="61">
          <cell r="C61" t="str">
            <v>LV001091</v>
          </cell>
          <cell r="P61"/>
        </row>
        <row r="62">
          <cell r="C62" t="str">
            <v>LV001109</v>
          </cell>
          <cell r="P62"/>
        </row>
        <row r="63">
          <cell r="C63" t="str">
            <v>LV001228</v>
          </cell>
          <cell r="P63"/>
        </row>
        <row r="64">
          <cell r="C64" t="str">
            <v>LV001233</v>
          </cell>
          <cell r="P64"/>
        </row>
        <row r="65">
          <cell r="C65" t="str">
            <v>LV001234</v>
          </cell>
          <cell r="P65"/>
        </row>
        <row r="66">
          <cell r="C66" t="str">
            <v>LV001239</v>
          </cell>
          <cell r="P66"/>
        </row>
        <row r="67">
          <cell r="C67" t="str">
            <v>LV001242</v>
          </cell>
          <cell r="P67"/>
        </row>
        <row r="68">
          <cell r="C68" t="str">
            <v>LV001259</v>
          </cell>
          <cell r="P68"/>
        </row>
        <row r="69">
          <cell r="C69" t="str">
            <v>LV001100</v>
          </cell>
          <cell r="P69"/>
        </row>
        <row r="70">
          <cell r="C70" t="str">
            <v>LV001286</v>
          </cell>
          <cell r="P70"/>
        </row>
        <row r="71">
          <cell r="C71"/>
          <cell r="P71">
            <v>0</v>
          </cell>
        </row>
        <row r="72">
          <cell r="C72" t="str">
            <v>LV000738</v>
          </cell>
          <cell r="P72"/>
        </row>
        <row r="73">
          <cell r="C73" t="str">
            <v>LV001251</v>
          </cell>
          <cell r="P73"/>
        </row>
        <row r="74">
          <cell r="C74" t="str">
            <v>LV001253</v>
          </cell>
          <cell r="P74"/>
        </row>
        <row r="75">
          <cell r="C75" t="str">
            <v>LV001289</v>
          </cell>
          <cell r="P75"/>
        </row>
        <row r="76">
          <cell r="C76" t="str">
            <v>LV001304</v>
          </cell>
          <cell r="P76"/>
        </row>
        <row r="77">
          <cell r="C77" t="str">
            <v>LV001305</v>
          </cell>
          <cell r="P77"/>
        </row>
        <row r="78">
          <cell r="C78" t="str">
            <v>LV001306</v>
          </cell>
          <cell r="P78"/>
        </row>
        <row r="79">
          <cell r="C79" t="str">
            <v>LV001307</v>
          </cell>
          <cell r="P79"/>
        </row>
        <row r="80">
          <cell r="C80" t="str">
            <v>LV001309</v>
          </cell>
          <cell r="P80"/>
        </row>
        <row r="81">
          <cell r="C81" t="str">
            <v>LV001310</v>
          </cell>
          <cell r="P81"/>
        </row>
        <row r="82">
          <cell r="C82" t="str">
            <v>LV001315</v>
          </cell>
          <cell r="P82"/>
        </row>
        <row r="83">
          <cell r="C83" t="str">
            <v>LV001147</v>
          </cell>
          <cell r="P83"/>
        </row>
        <row r="84">
          <cell r="C84" t="str">
            <v>LV001249</v>
          </cell>
          <cell r="P84"/>
        </row>
        <row r="85">
          <cell r="C85" t="str">
            <v>LV001250</v>
          </cell>
          <cell r="P85"/>
        </row>
        <row r="86">
          <cell r="C86" t="str">
            <v>LV001252</v>
          </cell>
          <cell r="P86"/>
        </row>
        <row r="87">
          <cell r="C87"/>
          <cell r="P87">
            <v>0</v>
          </cell>
        </row>
        <row r="88">
          <cell r="C88" t="str">
            <v>LV000091</v>
          </cell>
          <cell r="P88">
            <v>10</v>
          </cell>
        </row>
        <row r="89">
          <cell r="C89" t="str">
            <v>LV000092</v>
          </cell>
          <cell r="P89">
            <v>9</v>
          </cell>
        </row>
        <row r="90">
          <cell r="C90" t="str">
            <v>LV000094</v>
          </cell>
          <cell r="P90">
            <v>9</v>
          </cell>
        </row>
        <row r="91">
          <cell r="C91" t="str">
            <v>LV000924</v>
          </cell>
          <cell r="P91">
            <v>9</v>
          </cell>
        </row>
        <row r="92">
          <cell r="C92" t="str">
            <v>LV000385</v>
          </cell>
          <cell r="P92">
            <v>4</v>
          </cell>
        </row>
        <row r="93">
          <cell r="C93" t="str">
            <v>LV000773</v>
          </cell>
          <cell r="P93">
            <v>4</v>
          </cell>
        </row>
        <row r="94">
          <cell r="C94" t="str">
            <v>LV000923</v>
          </cell>
          <cell r="P94">
            <v>10</v>
          </cell>
        </row>
        <row r="95">
          <cell r="C95" t="str">
            <v>LV000926</v>
          </cell>
          <cell r="P95">
            <v>1</v>
          </cell>
        </row>
        <row r="96">
          <cell r="C96" t="str">
            <v>LV001000</v>
          </cell>
          <cell r="P96">
            <v>10</v>
          </cell>
        </row>
        <row r="97">
          <cell r="C97" t="str">
            <v>LV001246</v>
          </cell>
          <cell r="P97">
            <v>5</v>
          </cell>
        </row>
        <row r="98">
          <cell r="C98" t="str">
            <v>LV001247</v>
          </cell>
          <cell r="P98">
            <v>9</v>
          </cell>
        </row>
        <row r="99">
          <cell r="C99" t="str">
            <v>LV001254</v>
          </cell>
          <cell r="P99">
            <v>3</v>
          </cell>
        </row>
        <row r="100">
          <cell r="C100"/>
          <cell r="P100">
            <v>83</v>
          </cell>
        </row>
        <row r="101">
          <cell r="C101" t="str">
            <v>LV001111</v>
          </cell>
          <cell r="P101"/>
        </row>
        <row r="102">
          <cell r="C102"/>
          <cell r="P102">
            <v>0</v>
          </cell>
        </row>
        <row r="103">
          <cell r="C103" t="str">
            <v>LV001002</v>
          </cell>
          <cell r="P103"/>
        </row>
        <row r="104">
          <cell r="C104" t="str">
            <v>LV001003</v>
          </cell>
          <cell r="P104"/>
        </row>
        <row r="105">
          <cell r="C105" t="str">
            <v>LV001256</v>
          </cell>
          <cell r="P105"/>
        </row>
        <row r="106">
          <cell r="C106" t="str">
            <v>LV001270</v>
          </cell>
          <cell r="P106"/>
        </row>
        <row r="107">
          <cell r="C107" t="str">
            <v>LV001271</v>
          </cell>
          <cell r="P107"/>
        </row>
        <row r="108">
          <cell r="C108" t="str">
            <v>LV001272</v>
          </cell>
          <cell r="P108"/>
        </row>
        <row r="109">
          <cell r="C109" t="str">
            <v>LV001273</v>
          </cell>
          <cell r="P109"/>
        </row>
        <row r="110">
          <cell r="C110" t="str">
            <v>LV001274</v>
          </cell>
          <cell r="P110"/>
        </row>
        <row r="111">
          <cell r="C111" t="str">
            <v>LV001282</v>
          </cell>
          <cell r="P111">
            <v>13</v>
          </cell>
        </row>
        <row r="112">
          <cell r="C112" t="str">
            <v>LV001283</v>
          </cell>
          <cell r="P112">
            <v>13</v>
          </cell>
        </row>
        <row r="113">
          <cell r="C113" t="str">
            <v>LV001284</v>
          </cell>
          <cell r="P113"/>
        </row>
        <row r="114">
          <cell r="C114" t="str">
            <v>LV001285</v>
          </cell>
          <cell r="P114"/>
        </row>
        <row r="115">
          <cell r="C115" t="str">
            <v>LV001314</v>
          </cell>
          <cell r="P115">
            <v>8</v>
          </cell>
        </row>
        <row r="116">
          <cell r="C116" t="str">
            <v>LV001316</v>
          </cell>
          <cell r="P116">
            <v>3</v>
          </cell>
        </row>
        <row r="117">
          <cell r="C117" t="str">
            <v>LV001318</v>
          </cell>
          <cell r="P117"/>
        </row>
        <row r="118">
          <cell r="C118" t="str">
            <v>LV001320</v>
          </cell>
          <cell r="P118">
            <v>4</v>
          </cell>
        </row>
        <row r="119">
          <cell r="C119" t="str">
            <v>LV001114</v>
          </cell>
          <cell r="P119"/>
        </row>
        <row r="120">
          <cell r="C120" t="str">
            <v>LV001116</v>
          </cell>
          <cell r="P120"/>
        </row>
        <row r="121">
          <cell r="C121" t="str">
            <v>LV001243</v>
          </cell>
          <cell r="P121"/>
        </row>
        <row r="122">
          <cell r="C122" t="str">
            <v>LV001245</v>
          </cell>
          <cell r="P122"/>
        </row>
        <row r="123">
          <cell r="C123" t="str">
            <v>LV001255</v>
          </cell>
          <cell r="P123"/>
        </row>
        <row r="124">
          <cell r="C124" t="str">
            <v>LV001275</v>
          </cell>
          <cell r="P124"/>
        </row>
        <row r="125">
          <cell r="C125" t="str">
            <v>LV001312</v>
          </cell>
          <cell r="P125"/>
        </row>
        <row r="126">
          <cell r="C126" t="str">
            <v>LV001313</v>
          </cell>
          <cell r="P126">
            <v>2</v>
          </cell>
        </row>
        <row r="127">
          <cell r="C127" t="str">
            <v>LV001317</v>
          </cell>
          <cell r="P127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2D86B8-4842-4D51-95E8-B37C38EE8F73}">
  <we:reference id="wa200009404" version="1.0.0.8" store="vi-VN" storeType="OMEX"/>
  <we:alternateReferences>
    <we:reference id="wa200009404" version="1.0.0.8" store="vi-VN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0"/>
  <sheetViews>
    <sheetView tabSelected="1" topLeftCell="A4" zoomScale="50" zoomScaleNormal="50" zoomScaleSheetLayoutView="70" workbookViewId="0">
      <pane xSplit="8" ySplit="7" topLeftCell="I11" activePane="bottomRight" state="frozen"/>
      <selection activeCell="A4" sqref="A4"/>
      <selection pane="topRight" activeCell="E4" sqref="E4"/>
      <selection pane="bottomLeft" activeCell="A11" sqref="A11"/>
      <selection pane="bottomRight" activeCell="A34" sqref="A34:XFD34"/>
    </sheetView>
  </sheetViews>
  <sheetFormatPr defaultColWidth="9" defaultRowHeight="15" customHeight="1"/>
  <cols>
    <col min="1" max="1" width="9.09765625" style="1" hidden="1" customWidth="1"/>
    <col min="2" max="2" width="9.09765625" style="62" customWidth="1"/>
    <col min="3" max="3" width="14.19921875" style="13" customWidth="1"/>
    <col min="4" max="4" width="14.796875" style="13" customWidth="1"/>
    <col min="5" max="5" width="23.5" style="1" customWidth="1"/>
    <col min="6" max="6" width="15.3984375" style="41" hidden="1" customWidth="1"/>
    <col min="7" max="7" width="20.296875" style="41" hidden="1" customWidth="1"/>
    <col min="8" max="8" width="19.59765625" style="1" customWidth="1"/>
    <col min="9" max="36" width="8.19921875" style="1" customWidth="1"/>
    <col min="37" max="37" width="10.5" style="16" customWidth="1"/>
    <col min="38" max="38" width="9.19921875" style="16" customWidth="1"/>
    <col min="39" max="39" width="10.296875" style="16" customWidth="1"/>
    <col min="40" max="44" width="7.59765625" style="16" customWidth="1"/>
    <col min="45" max="46" width="15.8984375" style="15" customWidth="1"/>
    <col min="47" max="47" width="27.3984375" style="1" customWidth="1"/>
    <col min="48" max="16384" width="9" style="1"/>
  </cols>
  <sheetData>
    <row r="1" spans="1:47" ht="19.5" customHeight="1">
      <c r="A1" s="12"/>
      <c r="B1" s="61"/>
      <c r="H1" s="14" t="s">
        <v>2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47" ht="18.75" customHeight="1">
      <c r="H2" s="14" t="s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47" ht="19.5" customHeight="1">
      <c r="H3" s="14" t="s">
        <v>3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47" ht="18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5"/>
      <c r="AN4" s="15"/>
      <c r="AO4" s="15"/>
      <c r="AP4" s="15"/>
      <c r="AQ4" s="15"/>
      <c r="AR4" s="15"/>
    </row>
    <row r="5" spans="1:47" ht="36" customHeight="1">
      <c r="A5" s="73" t="s">
        <v>151</v>
      </c>
      <c r="B5" s="63"/>
      <c r="C5" s="126"/>
      <c r="D5" s="24"/>
      <c r="E5" s="74"/>
      <c r="F5" s="42"/>
      <c r="G5" s="4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spans="1:47" ht="4.5" customHeight="1">
      <c r="A6" s="19"/>
      <c r="B6" s="64"/>
      <c r="C6" s="20"/>
      <c r="D6" s="20"/>
      <c r="E6" s="19"/>
      <c r="F6" s="46"/>
      <c r="G6" s="44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18"/>
      <c r="AL6" s="18"/>
      <c r="AM6" s="18"/>
      <c r="AN6" s="18"/>
      <c r="AO6" s="18"/>
      <c r="AP6" s="18"/>
      <c r="AQ6" s="18"/>
      <c r="AR6" s="18"/>
    </row>
    <row r="7" spans="1:47" ht="24.75" customHeight="1">
      <c r="A7" s="97" t="s">
        <v>4</v>
      </c>
      <c r="B7" s="117" t="s">
        <v>4</v>
      </c>
      <c r="C7" s="98" t="s">
        <v>5</v>
      </c>
      <c r="D7" s="58"/>
      <c r="E7" s="100" t="s">
        <v>6</v>
      </c>
      <c r="F7" s="123" t="s">
        <v>31</v>
      </c>
      <c r="G7" s="120" t="s">
        <v>32</v>
      </c>
      <c r="H7" s="97" t="s">
        <v>20</v>
      </c>
      <c r="I7" s="94">
        <v>22</v>
      </c>
      <c r="J7" s="95"/>
      <c r="K7" s="95"/>
      <c r="L7" s="96"/>
      <c r="M7" s="94">
        <v>23</v>
      </c>
      <c r="N7" s="95"/>
      <c r="O7" s="95"/>
      <c r="P7" s="96"/>
      <c r="Q7" s="94">
        <v>24</v>
      </c>
      <c r="R7" s="95"/>
      <c r="S7" s="95"/>
      <c r="T7" s="96"/>
      <c r="U7" s="94">
        <v>25</v>
      </c>
      <c r="V7" s="95"/>
      <c r="W7" s="95"/>
      <c r="X7" s="96"/>
      <c r="Y7" s="94">
        <v>26</v>
      </c>
      <c r="Z7" s="95"/>
      <c r="AA7" s="95"/>
      <c r="AB7" s="96"/>
      <c r="AC7" s="94">
        <v>27</v>
      </c>
      <c r="AD7" s="95"/>
      <c r="AE7" s="95"/>
      <c r="AF7" s="96"/>
      <c r="AG7" s="94">
        <v>28</v>
      </c>
      <c r="AH7" s="95"/>
      <c r="AI7" s="95"/>
      <c r="AJ7" s="96"/>
      <c r="AK7" s="107" t="s">
        <v>7</v>
      </c>
      <c r="AL7" s="108"/>
      <c r="AM7" s="108"/>
      <c r="AN7" s="108"/>
      <c r="AO7" s="108"/>
      <c r="AP7" s="108"/>
      <c r="AQ7" s="108"/>
      <c r="AR7" s="109"/>
      <c r="AS7" s="113" t="s">
        <v>23</v>
      </c>
      <c r="AT7" s="113"/>
      <c r="AU7" s="114" t="s">
        <v>41</v>
      </c>
    </row>
    <row r="8" spans="1:47" ht="30" customHeight="1">
      <c r="A8" s="97"/>
      <c r="B8" s="118"/>
      <c r="C8" s="98"/>
      <c r="D8" s="59" t="s">
        <v>28</v>
      </c>
      <c r="E8" s="100"/>
      <c r="F8" s="124"/>
      <c r="G8" s="121"/>
      <c r="H8" s="97"/>
      <c r="I8" s="103" t="s">
        <v>196</v>
      </c>
      <c r="J8" s="104"/>
      <c r="K8" s="104"/>
      <c r="L8" s="105"/>
      <c r="M8" s="103" t="s">
        <v>197</v>
      </c>
      <c r="N8" s="104"/>
      <c r="O8" s="104"/>
      <c r="P8" s="105"/>
      <c r="Q8" s="103" t="s">
        <v>198</v>
      </c>
      <c r="R8" s="104"/>
      <c r="S8" s="104"/>
      <c r="T8" s="105"/>
      <c r="U8" s="103" t="s">
        <v>199</v>
      </c>
      <c r="V8" s="104"/>
      <c r="W8" s="104"/>
      <c r="X8" s="105"/>
      <c r="Y8" s="103" t="s">
        <v>200</v>
      </c>
      <c r="Z8" s="104"/>
      <c r="AA8" s="104"/>
      <c r="AB8" s="105"/>
      <c r="AC8" s="103" t="s">
        <v>201</v>
      </c>
      <c r="AD8" s="104"/>
      <c r="AE8" s="104"/>
      <c r="AF8" s="105"/>
      <c r="AG8" s="103" t="s">
        <v>202</v>
      </c>
      <c r="AH8" s="104"/>
      <c r="AI8" s="104"/>
      <c r="AJ8" s="105"/>
      <c r="AK8" s="110"/>
      <c r="AL8" s="111"/>
      <c r="AM8" s="111"/>
      <c r="AN8" s="111"/>
      <c r="AO8" s="111"/>
      <c r="AP8" s="111"/>
      <c r="AQ8" s="111"/>
      <c r="AR8" s="112"/>
      <c r="AS8" s="11" t="s">
        <v>21</v>
      </c>
      <c r="AT8" s="11" t="s">
        <v>22</v>
      </c>
      <c r="AU8" s="115"/>
    </row>
    <row r="9" spans="1:47" ht="19.2" customHeight="1">
      <c r="A9" s="97"/>
      <c r="B9" s="118"/>
      <c r="C9" s="98"/>
      <c r="D9" s="59"/>
      <c r="E9" s="100"/>
      <c r="F9" s="124"/>
      <c r="G9" s="121"/>
      <c r="H9" s="97"/>
      <c r="I9" s="54">
        <v>36000</v>
      </c>
      <c r="J9" s="55">
        <v>54000</v>
      </c>
      <c r="K9" s="55">
        <v>46800</v>
      </c>
      <c r="L9" s="56">
        <v>75600</v>
      </c>
      <c r="M9" s="54">
        <v>72000</v>
      </c>
      <c r="N9" s="55">
        <v>72000</v>
      </c>
      <c r="O9" s="55">
        <v>97200</v>
      </c>
      <c r="P9" s="56">
        <v>72000</v>
      </c>
      <c r="Q9" s="54">
        <v>36000</v>
      </c>
      <c r="R9" s="55">
        <v>54000</v>
      </c>
      <c r="S9" s="55">
        <v>46800</v>
      </c>
      <c r="T9" s="56">
        <v>75600</v>
      </c>
      <c r="U9" s="54">
        <v>36000</v>
      </c>
      <c r="V9" s="55">
        <v>54000</v>
      </c>
      <c r="W9" s="55">
        <v>46800</v>
      </c>
      <c r="X9" s="56">
        <v>75600</v>
      </c>
      <c r="Y9" s="54">
        <v>36000</v>
      </c>
      <c r="Z9" s="55">
        <v>54000</v>
      </c>
      <c r="AA9" s="55">
        <v>46800</v>
      </c>
      <c r="AB9" s="56">
        <v>75600</v>
      </c>
      <c r="AC9" s="54">
        <v>36000</v>
      </c>
      <c r="AD9" s="55">
        <v>54000</v>
      </c>
      <c r="AE9" s="55">
        <v>46800</v>
      </c>
      <c r="AF9" s="56">
        <v>75600</v>
      </c>
      <c r="AG9" s="54">
        <v>36000</v>
      </c>
      <c r="AH9" s="55">
        <v>54000</v>
      </c>
      <c r="AI9" s="55">
        <v>46800</v>
      </c>
      <c r="AJ9" s="56">
        <v>75600</v>
      </c>
      <c r="AK9" s="51"/>
      <c r="AL9" s="52"/>
      <c r="AM9" s="52"/>
      <c r="AN9" s="52"/>
      <c r="AO9" s="52"/>
      <c r="AP9" s="52"/>
      <c r="AQ9" s="52"/>
      <c r="AR9" s="53"/>
      <c r="AS9" s="11"/>
      <c r="AT9" s="11"/>
      <c r="AU9" s="115"/>
    </row>
    <row r="10" spans="1:47" ht="32.4" customHeight="1">
      <c r="A10" s="97"/>
      <c r="B10" s="119"/>
      <c r="C10" s="99"/>
      <c r="D10" s="60"/>
      <c r="E10" s="101"/>
      <c r="F10" s="125"/>
      <c r="G10" s="122"/>
      <c r="H10" s="102"/>
      <c r="I10" s="75" t="s">
        <v>14</v>
      </c>
      <c r="J10" s="75" t="s">
        <v>15</v>
      </c>
      <c r="K10" s="75" t="s">
        <v>13</v>
      </c>
      <c r="L10" s="75" t="s">
        <v>12</v>
      </c>
      <c r="M10" s="76" t="s">
        <v>16</v>
      </c>
      <c r="N10" s="76" t="s">
        <v>19</v>
      </c>
      <c r="O10" s="76" t="s">
        <v>17</v>
      </c>
      <c r="P10" s="76" t="s">
        <v>18</v>
      </c>
      <c r="Q10" s="75" t="s">
        <v>14</v>
      </c>
      <c r="R10" s="75" t="s">
        <v>15</v>
      </c>
      <c r="S10" s="75" t="s">
        <v>13</v>
      </c>
      <c r="T10" s="75" t="s">
        <v>12</v>
      </c>
      <c r="U10" s="75" t="s">
        <v>14</v>
      </c>
      <c r="V10" s="75" t="s">
        <v>15</v>
      </c>
      <c r="W10" s="75" t="s">
        <v>13</v>
      </c>
      <c r="X10" s="75" t="s">
        <v>12</v>
      </c>
      <c r="Y10" s="75" t="s">
        <v>14</v>
      </c>
      <c r="Z10" s="75" t="s">
        <v>15</v>
      </c>
      <c r="AA10" s="75" t="s">
        <v>13</v>
      </c>
      <c r="AB10" s="75" t="s">
        <v>12</v>
      </c>
      <c r="AC10" s="75" t="s">
        <v>14</v>
      </c>
      <c r="AD10" s="75" t="s">
        <v>15</v>
      </c>
      <c r="AE10" s="75" t="s">
        <v>13</v>
      </c>
      <c r="AF10" s="75" t="s">
        <v>12</v>
      </c>
      <c r="AG10" s="75" t="s">
        <v>14</v>
      </c>
      <c r="AH10" s="75" t="s">
        <v>15</v>
      </c>
      <c r="AI10" s="75" t="s">
        <v>13</v>
      </c>
      <c r="AJ10" s="75" t="s">
        <v>12</v>
      </c>
      <c r="AK10" s="8" t="s">
        <v>14</v>
      </c>
      <c r="AL10" s="8" t="s">
        <v>15</v>
      </c>
      <c r="AM10" s="8" t="s">
        <v>13</v>
      </c>
      <c r="AN10" s="8" t="s">
        <v>12</v>
      </c>
      <c r="AO10" s="8" t="s">
        <v>16</v>
      </c>
      <c r="AP10" s="8" t="s">
        <v>19</v>
      </c>
      <c r="AQ10" s="8" t="s">
        <v>17</v>
      </c>
      <c r="AR10" s="8" t="s">
        <v>18</v>
      </c>
      <c r="AS10" s="7">
        <v>12000</v>
      </c>
      <c r="AT10" s="7">
        <v>20000</v>
      </c>
      <c r="AU10" s="116"/>
    </row>
    <row r="11" spans="1:47" s="17" customFormat="1" ht="30" customHeight="1">
      <c r="A11" s="29">
        <v>23</v>
      </c>
      <c r="B11" s="57" t="s">
        <v>62</v>
      </c>
      <c r="C11" s="22" t="s">
        <v>61</v>
      </c>
      <c r="D11" s="25" t="s">
        <v>47</v>
      </c>
      <c r="E11" s="23" t="s">
        <v>45</v>
      </c>
      <c r="F11" s="45"/>
      <c r="G11" s="45"/>
      <c r="H11" s="30" t="s">
        <v>92</v>
      </c>
      <c r="I11" s="77">
        <v>8</v>
      </c>
      <c r="J11" s="77">
        <v>0</v>
      </c>
      <c r="K11" s="77">
        <v>0</v>
      </c>
      <c r="L11" s="77">
        <v>0</v>
      </c>
      <c r="M11" s="69">
        <v>0</v>
      </c>
      <c r="N11" s="69"/>
      <c r="O11" s="69">
        <v>0</v>
      </c>
      <c r="P11" s="69"/>
      <c r="Q11" s="77">
        <v>8</v>
      </c>
      <c r="R11" s="77">
        <v>3</v>
      </c>
      <c r="S11" s="77">
        <v>0</v>
      </c>
      <c r="T11" s="77">
        <v>0</v>
      </c>
      <c r="U11" s="77">
        <v>8</v>
      </c>
      <c r="V11" s="77">
        <v>3</v>
      </c>
      <c r="W11" s="77">
        <v>0</v>
      </c>
      <c r="X11" s="77">
        <v>0</v>
      </c>
      <c r="Y11" s="77">
        <v>8</v>
      </c>
      <c r="Z11" s="77">
        <v>0</v>
      </c>
      <c r="AA11" s="77">
        <v>0</v>
      </c>
      <c r="AB11" s="77">
        <v>0</v>
      </c>
      <c r="AC11" s="77">
        <v>8</v>
      </c>
      <c r="AD11" s="77">
        <v>3</v>
      </c>
      <c r="AE11" s="77">
        <v>0</v>
      </c>
      <c r="AF11" s="77">
        <v>0</v>
      </c>
      <c r="AG11" s="77">
        <v>8</v>
      </c>
      <c r="AH11" s="77">
        <v>3</v>
      </c>
      <c r="AI11" s="77">
        <v>0</v>
      </c>
      <c r="AJ11" s="77">
        <v>0</v>
      </c>
      <c r="AK11" s="32">
        <f t="shared" ref="AK11:AR26" si="0">SUMIF($I$10:$AJ$10,AK$10,$I11:$AJ11)</f>
        <v>48</v>
      </c>
      <c r="AL11" s="32">
        <f t="shared" si="0"/>
        <v>12</v>
      </c>
      <c r="AM11" s="32">
        <f t="shared" si="0"/>
        <v>0</v>
      </c>
      <c r="AN11" s="32">
        <f t="shared" si="0"/>
        <v>0</v>
      </c>
      <c r="AO11" s="31">
        <f t="shared" si="0"/>
        <v>0</v>
      </c>
      <c r="AP11" s="31">
        <f t="shared" si="0"/>
        <v>0</v>
      </c>
      <c r="AQ11" s="31">
        <f t="shared" si="0"/>
        <v>0</v>
      </c>
      <c r="AR11" s="31">
        <f t="shared" si="0"/>
        <v>0</v>
      </c>
      <c r="AS11" s="71"/>
      <c r="AT11" s="71"/>
      <c r="AU11" s="23"/>
    </row>
    <row r="12" spans="1:47" s="17" customFormat="1" ht="30" customHeight="1">
      <c r="A12" s="29"/>
      <c r="B12" s="57" t="s">
        <v>64</v>
      </c>
      <c r="C12" s="22" t="s">
        <v>58</v>
      </c>
      <c r="D12" s="25" t="s">
        <v>34</v>
      </c>
      <c r="E12" s="23" t="s">
        <v>35</v>
      </c>
      <c r="F12" s="45"/>
      <c r="G12" s="45"/>
      <c r="H12" s="30" t="s">
        <v>92</v>
      </c>
      <c r="I12" s="77">
        <v>8</v>
      </c>
      <c r="J12" s="77">
        <v>2</v>
      </c>
      <c r="K12" s="77">
        <v>0</v>
      </c>
      <c r="L12" s="77">
        <v>0</v>
      </c>
      <c r="M12" s="69">
        <v>0</v>
      </c>
      <c r="N12" s="69"/>
      <c r="O12" s="69">
        <v>0</v>
      </c>
      <c r="P12" s="69"/>
      <c r="Q12" s="77">
        <v>0</v>
      </c>
      <c r="R12" s="77">
        <v>0</v>
      </c>
      <c r="S12" s="77">
        <v>0</v>
      </c>
      <c r="T12" s="77">
        <v>0</v>
      </c>
      <c r="U12" s="77">
        <v>8</v>
      </c>
      <c r="V12" s="77">
        <v>3</v>
      </c>
      <c r="W12" s="77">
        <v>0</v>
      </c>
      <c r="X12" s="77">
        <v>0</v>
      </c>
      <c r="Y12" s="77">
        <v>8</v>
      </c>
      <c r="Z12" s="77">
        <v>2</v>
      </c>
      <c r="AA12" s="77">
        <v>0</v>
      </c>
      <c r="AB12" s="77">
        <v>0</v>
      </c>
      <c r="AC12" s="77">
        <v>8</v>
      </c>
      <c r="AD12" s="77">
        <v>0</v>
      </c>
      <c r="AE12" s="77">
        <v>0</v>
      </c>
      <c r="AF12" s="77">
        <v>0</v>
      </c>
      <c r="AG12" s="77">
        <v>8</v>
      </c>
      <c r="AH12" s="77">
        <v>2</v>
      </c>
      <c r="AI12" s="77">
        <v>0</v>
      </c>
      <c r="AJ12" s="77">
        <v>0</v>
      </c>
      <c r="AK12" s="32">
        <f t="shared" si="0"/>
        <v>40</v>
      </c>
      <c r="AL12" s="32">
        <f t="shared" si="0"/>
        <v>9</v>
      </c>
      <c r="AM12" s="32">
        <f t="shared" si="0"/>
        <v>0</v>
      </c>
      <c r="AN12" s="32">
        <f t="shared" si="0"/>
        <v>0</v>
      </c>
      <c r="AO12" s="31">
        <f t="shared" si="0"/>
        <v>0</v>
      </c>
      <c r="AP12" s="31">
        <f t="shared" si="0"/>
        <v>0</v>
      </c>
      <c r="AQ12" s="31">
        <f t="shared" si="0"/>
        <v>0</v>
      </c>
      <c r="AR12" s="31">
        <f t="shared" si="0"/>
        <v>0</v>
      </c>
      <c r="AS12" s="71"/>
      <c r="AT12" s="71"/>
      <c r="AU12" s="23"/>
    </row>
    <row r="13" spans="1:47" s="17" customFormat="1" ht="30" customHeight="1">
      <c r="A13" s="29"/>
      <c r="B13" s="57" t="s">
        <v>65</v>
      </c>
      <c r="C13" s="22" t="s">
        <v>57</v>
      </c>
      <c r="D13" s="25" t="s">
        <v>30</v>
      </c>
      <c r="E13" s="23" t="s">
        <v>29</v>
      </c>
      <c r="F13" s="45"/>
      <c r="G13" s="45"/>
      <c r="H13" s="30" t="s">
        <v>92</v>
      </c>
      <c r="I13" s="77">
        <v>8</v>
      </c>
      <c r="J13" s="77">
        <v>0</v>
      </c>
      <c r="K13" s="77">
        <v>0</v>
      </c>
      <c r="L13" s="77">
        <v>0</v>
      </c>
      <c r="M13" s="69">
        <v>0</v>
      </c>
      <c r="N13" s="69"/>
      <c r="O13" s="69">
        <v>0</v>
      </c>
      <c r="P13" s="69"/>
      <c r="Q13" s="77">
        <v>8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77">
        <v>0</v>
      </c>
      <c r="AF13" s="77">
        <v>0</v>
      </c>
      <c r="AG13" s="77">
        <v>8</v>
      </c>
      <c r="AH13" s="77">
        <v>3</v>
      </c>
      <c r="AI13" s="77">
        <v>0</v>
      </c>
      <c r="AJ13" s="77">
        <v>0</v>
      </c>
      <c r="AK13" s="32">
        <f t="shared" si="0"/>
        <v>24</v>
      </c>
      <c r="AL13" s="32">
        <f t="shared" si="0"/>
        <v>3</v>
      </c>
      <c r="AM13" s="32">
        <f t="shared" si="0"/>
        <v>0</v>
      </c>
      <c r="AN13" s="32">
        <f t="shared" si="0"/>
        <v>0</v>
      </c>
      <c r="AO13" s="31">
        <f t="shared" si="0"/>
        <v>0</v>
      </c>
      <c r="AP13" s="31">
        <f t="shared" si="0"/>
        <v>0</v>
      </c>
      <c r="AQ13" s="31">
        <f t="shared" si="0"/>
        <v>0</v>
      </c>
      <c r="AR13" s="31">
        <f t="shared" si="0"/>
        <v>0</v>
      </c>
      <c r="AS13" s="71"/>
      <c r="AT13" s="71"/>
      <c r="AU13" s="23"/>
    </row>
    <row r="14" spans="1:47" s="17" customFormat="1" ht="30" customHeight="1">
      <c r="A14" s="29">
        <v>5</v>
      </c>
      <c r="B14" s="57" t="s">
        <v>66</v>
      </c>
      <c r="C14" s="22" t="s">
        <v>59</v>
      </c>
      <c r="D14" s="25" t="s">
        <v>39</v>
      </c>
      <c r="E14" s="22" t="s">
        <v>38</v>
      </c>
      <c r="F14" s="45">
        <v>45964</v>
      </c>
      <c r="G14" s="45"/>
      <c r="H14" s="30" t="s">
        <v>37</v>
      </c>
      <c r="I14" s="77">
        <v>8</v>
      </c>
      <c r="J14" s="77">
        <v>2</v>
      </c>
      <c r="K14" s="77">
        <v>0</v>
      </c>
      <c r="L14" s="77">
        <v>0</v>
      </c>
      <c r="M14" s="69">
        <v>0</v>
      </c>
      <c r="N14" s="69"/>
      <c r="O14" s="69">
        <v>0</v>
      </c>
      <c r="P14" s="69"/>
      <c r="Q14" s="77">
        <v>8</v>
      </c>
      <c r="R14" s="77">
        <v>4</v>
      </c>
      <c r="S14" s="77">
        <v>0</v>
      </c>
      <c r="T14" s="77">
        <v>0</v>
      </c>
      <c r="U14" s="77">
        <v>8</v>
      </c>
      <c r="V14" s="77">
        <v>4</v>
      </c>
      <c r="W14" s="77">
        <v>0</v>
      </c>
      <c r="X14" s="77">
        <v>0</v>
      </c>
      <c r="Y14" s="77">
        <v>8</v>
      </c>
      <c r="Z14" s="77">
        <v>4</v>
      </c>
      <c r="AA14" s="77">
        <v>0</v>
      </c>
      <c r="AB14" s="77">
        <v>0</v>
      </c>
      <c r="AC14" s="77">
        <v>8</v>
      </c>
      <c r="AD14" s="77">
        <v>4</v>
      </c>
      <c r="AE14" s="77">
        <v>0</v>
      </c>
      <c r="AF14" s="77">
        <v>0</v>
      </c>
      <c r="AG14" s="77">
        <v>8</v>
      </c>
      <c r="AH14" s="77">
        <v>4</v>
      </c>
      <c r="AI14" s="77">
        <v>0</v>
      </c>
      <c r="AJ14" s="77">
        <v>0</v>
      </c>
      <c r="AK14" s="32">
        <f t="shared" si="0"/>
        <v>48</v>
      </c>
      <c r="AL14" s="32">
        <f t="shared" si="0"/>
        <v>22</v>
      </c>
      <c r="AM14" s="32">
        <f t="shared" si="0"/>
        <v>0</v>
      </c>
      <c r="AN14" s="32">
        <f t="shared" si="0"/>
        <v>0</v>
      </c>
      <c r="AO14" s="31">
        <f t="shared" si="0"/>
        <v>0</v>
      </c>
      <c r="AP14" s="31">
        <f t="shared" si="0"/>
        <v>0</v>
      </c>
      <c r="AQ14" s="31">
        <f t="shared" si="0"/>
        <v>0</v>
      </c>
      <c r="AR14" s="31">
        <f t="shared" si="0"/>
        <v>0</v>
      </c>
      <c r="AS14" s="71"/>
      <c r="AT14" s="71"/>
      <c r="AU14" s="23"/>
    </row>
    <row r="15" spans="1:47" s="17" customFormat="1" ht="30" customHeight="1">
      <c r="A15" s="29"/>
      <c r="B15" s="57" t="s">
        <v>67</v>
      </c>
      <c r="C15" s="22" t="s">
        <v>56</v>
      </c>
      <c r="D15" s="25" t="s">
        <v>51</v>
      </c>
      <c r="E15" s="23" t="s">
        <v>52</v>
      </c>
      <c r="F15" s="45"/>
      <c r="G15" s="45"/>
      <c r="H15" s="30" t="s">
        <v>92</v>
      </c>
      <c r="I15" s="77">
        <v>7.5</v>
      </c>
      <c r="J15" s="77">
        <v>0</v>
      </c>
      <c r="K15" s="77">
        <v>0</v>
      </c>
      <c r="L15" s="77">
        <v>0</v>
      </c>
      <c r="M15" s="69">
        <v>0</v>
      </c>
      <c r="N15" s="69"/>
      <c r="O15" s="69">
        <v>0</v>
      </c>
      <c r="P15" s="69"/>
      <c r="Q15" s="77">
        <v>7.5</v>
      </c>
      <c r="R15" s="77">
        <v>3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7">
        <v>7.5</v>
      </c>
      <c r="AH15" s="77">
        <v>3</v>
      </c>
      <c r="AI15" s="77">
        <v>0</v>
      </c>
      <c r="AJ15" s="77">
        <v>0</v>
      </c>
      <c r="AK15" s="32">
        <f t="shared" si="0"/>
        <v>22.5</v>
      </c>
      <c r="AL15" s="32">
        <f t="shared" si="0"/>
        <v>6</v>
      </c>
      <c r="AM15" s="32">
        <f t="shared" si="0"/>
        <v>0</v>
      </c>
      <c r="AN15" s="32">
        <f t="shared" si="0"/>
        <v>0</v>
      </c>
      <c r="AO15" s="31">
        <f t="shared" si="0"/>
        <v>0</v>
      </c>
      <c r="AP15" s="31">
        <f t="shared" si="0"/>
        <v>0</v>
      </c>
      <c r="AQ15" s="31">
        <f t="shared" si="0"/>
        <v>0</v>
      </c>
      <c r="AR15" s="31">
        <f t="shared" si="0"/>
        <v>0</v>
      </c>
      <c r="AS15" s="71"/>
      <c r="AT15" s="71"/>
      <c r="AU15" s="23"/>
    </row>
    <row r="16" spans="1:47" s="17" customFormat="1" ht="30" customHeight="1">
      <c r="A16" s="29">
        <v>15</v>
      </c>
      <c r="B16" s="57" t="s">
        <v>63</v>
      </c>
      <c r="C16" s="22" t="s">
        <v>60</v>
      </c>
      <c r="D16" s="25" t="s">
        <v>46</v>
      </c>
      <c r="E16" s="23" t="s">
        <v>44</v>
      </c>
      <c r="F16" s="45"/>
      <c r="G16" s="45"/>
      <c r="H16" s="30" t="s">
        <v>92</v>
      </c>
      <c r="I16" s="77">
        <v>8</v>
      </c>
      <c r="J16" s="77">
        <v>0</v>
      </c>
      <c r="K16" s="77">
        <v>0</v>
      </c>
      <c r="L16" s="77">
        <v>0</v>
      </c>
      <c r="M16" s="69">
        <v>0</v>
      </c>
      <c r="N16" s="69"/>
      <c r="O16" s="69">
        <v>0</v>
      </c>
      <c r="P16" s="69"/>
      <c r="Q16" s="77">
        <v>8</v>
      </c>
      <c r="R16" s="77">
        <v>2.5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8</v>
      </c>
      <c r="AH16" s="77">
        <v>0</v>
      </c>
      <c r="AI16" s="77">
        <v>0</v>
      </c>
      <c r="AJ16" s="77">
        <v>0</v>
      </c>
      <c r="AK16" s="32">
        <f t="shared" si="0"/>
        <v>24</v>
      </c>
      <c r="AL16" s="32">
        <f t="shared" si="0"/>
        <v>2.5</v>
      </c>
      <c r="AM16" s="32">
        <f t="shared" si="0"/>
        <v>0</v>
      </c>
      <c r="AN16" s="32">
        <f t="shared" si="0"/>
        <v>0</v>
      </c>
      <c r="AO16" s="31">
        <f t="shared" si="0"/>
        <v>0</v>
      </c>
      <c r="AP16" s="31">
        <f t="shared" si="0"/>
        <v>0</v>
      </c>
      <c r="AQ16" s="31">
        <f t="shared" si="0"/>
        <v>0</v>
      </c>
      <c r="AR16" s="31">
        <f t="shared" si="0"/>
        <v>0</v>
      </c>
      <c r="AS16" s="71"/>
      <c r="AT16" s="71"/>
      <c r="AU16" s="50"/>
    </row>
    <row r="17" spans="1:47" s="17" customFormat="1" ht="30" customHeight="1">
      <c r="A17" s="29"/>
      <c r="B17" s="57" t="s">
        <v>93</v>
      </c>
      <c r="C17" s="22" t="s">
        <v>102</v>
      </c>
      <c r="D17" s="25" t="s">
        <v>95</v>
      </c>
      <c r="E17" s="23" t="s">
        <v>96</v>
      </c>
      <c r="F17" s="45">
        <v>46207</v>
      </c>
      <c r="G17" s="45"/>
      <c r="H17" s="30" t="s">
        <v>92</v>
      </c>
      <c r="I17" s="77">
        <v>8</v>
      </c>
      <c r="J17" s="77">
        <v>2</v>
      </c>
      <c r="K17" s="77">
        <v>0</v>
      </c>
      <c r="L17" s="77">
        <v>0</v>
      </c>
      <c r="M17" s="69">
        <v>8</v>
      </c>
      <c r="N17" s="69"/>
      <c r="O17" s="69">
        <v>0</v>
      </c>
      <c r="P17" s="69"/>
      <c r="Q17" s="77">
        <v>5.5</v>
      </c>
      <c r="R17" s="77">
        <v>4</v>
      </c>
      <c r="S17" s="77">
        <v>0</v>
      </c>
      <c r="T17" s="77">
        <v>0</v>
      </c>
      <c r="U17" s="77">
        <v>8</v>
      </c>
      <c r="V17" s="77">
        <v>2</v>
      </c>
      <c r="W17" s="77">
        <v>0</v>
      </c>
      <c r="X17" s="77">
        <v>0</v>
      </c>
      <c r="Y17" s="77">
        <v>8</v>
      </c>
      <c r="Z17" s="77">
        <v>4</v>
      </c>
      <c r="AA17" s="77">
        <v>0</v>
      </c>
      <c r="AB17" s="77">
        <v>0</v>
      </c>
      <c r="AC17" s="77">
        <v>8</v>
      </c>
      <c r="AD17" s="77">
        <v>4</v>
      </c>
      <c r="AE17" s="77">
        <v>0</v>
      </c>
      <c r="AF17" s="77">
        <v>0</v>
      </c>
      <c r="AG17" s="77">
        <v>8</v>
      </c>
      <c r="AH17" s="77">
        <v>4</v>
      </c>
      <c r="AI17" s="77">
        <v>0</v>
      </c>
      <c r="AJ17" s="77">
        <v>0</v>
      </c>
      <c r="AK17" s="32">
        <f t="shared" si="0"/>
        <v>45.5</v>
      </c>
      <c r="AL17" s="32">
        <f t="shared" si="0"/>
        <v>20</v>
      </c>
      <c r="AM17" s="32">
        <f t="shared" si="0"/>
        <v>0</v>
      </c>
      <c r="AN17" s="32">
        <f t="shared" si="0"/>
        <v>0</v>
      </c>
      <c r="AO17" s="31">
        <f t="shared" si="0"/>
        <v>8</v>
      </c>
      <c r="AP17" s="31">
        <f t="shared" si="0"/>
        <v>0</v>
      </c>
      <c r="AQ17" s="31">
        <f t="shared" si="0"/>
        <v>0</v>
      </c>
      <c r="AR17" s="31">
        <f t="shared" si="0"/>
        <v>0</v>
      </c>
      <c r="AS17" s="71"/>
      <c r="AT17" s="71"/>
      <c r="AU17" s="23"/>
    </row>
    <row r="18" spans="1:47" s="17" customFormat="1" ht="30" customHeight="1">
      <c r="A18" s="29"/>
      <c r="B18" s="57" t="s">
        <v>68</v>
      </c>
      <c r="C18" s="22" t="s">
        <v>103</v>
      </c>
      <c r="D18" s="25" t="s">
        <v>97</v>
      </c>
      <c r="E18" s="23" t="s">
        <v>104</v>
      </c>
      <c r="F18" s="45">
        <v>46209</v>
      </c>
      <c r="G18" s="45"/>
      <c r="H18" s="30" t="s">
        <v>92</v>
      </c>
      <c r="I18" s="77">
        <v>8</v>
      </c>
      <c r="J18" s="77">
        <v>2</v>
      </c>
      <c r="K18" s="77">
        <v>0</v>
      </c>
      <c r="L18" s="77">
        <v>0</v>
      </c>
      <c r="M18" s="69">
        <v>11</v>
      </c>
      <c r="N18" s="69"/>
      <c r="O18" s="69">
        <v>0</v>
      </c>
      <c r="P18" s="69"/>
      <c r="Q18" s="77">
        <v>0</v>
      </c>
      <c r="R18" s="77">
        <v>0</v>
      </c>
      <c r="S18" s="77">
        <v>0</v>
      </c>
      <c r="T18" s="77">
        <v>0</v>
      </c>
      <c r="U18" s="77">
        <v>8</v>
      </c>
      <c r="V18" s="77">
        <v>3</v>
      </c>
      <c r="W18" s="77">
        <v>0</v>
      </c>
      <c r="X18" s="77">
        <v>0</v>
      </c>
      <c r="Y18" s="77">
        <v>8</v>
      </c>
      <c r="Z18" s="77">
        <v>2</v>
      </c>
      <c r="AA18" s="77">
        <v>0</v>
      </c>
      <c r="AB18" s="77">
        <v>0</v>
      </c>
      <c r="AC18" s="77">
        <v>8</v>
      </c>
      <c r="AD18" s="77">
        <v>3</v>
      </c>
      <c r="AE18" s="77">
        <v>0</v>
      </c>
      <c r="AF18" s="77">
        <v>0</v>
      </c>
      <c r="AG18" s="77">
        <v>8</v>
      </c>
      <c r="AH18" s="77">
        <v>0</v>
      </c>
      <c r="AI18" s="77">
        <v>0</v>
      </c>
      <c r="AJ18" s="77">
        <v>0</v>
      </c>
      <c r="AK18" s="32">
        <f t="shared" si="0"/>
        <v>40</v>
      </c>
      <c r="AL18" s="32">
        <f t="shared" si="0"/>
        <v>10</v>
      </c>
      <c r="AM18" s="32">
        <f t="shared" si="0"/>
        <v>0</v>
      </c>
      <c r="AN18" s="32">
        <f t="shared" si="0"/>
        <v>0</v>
      </c>
      <c r="AO18" s="31">
        <f t="shared" si="0"/>
        <v>11</v>
      </c>
      <c r="AP18" s="31">
        <f t="shared" si="0"/>
        <v>0</v>
      </c>
      <c r="AQ18" s="31">
        <f t="shared" si="0"/>
        <v>0</v>
      </c>
      <c r="AR18" s="31">
        <f t="shared" si="0"/>
        <v>0</v>
      </c>
      <c r="AS18" s="71"/>
      <c r="AT18" s="71"/>
      <c r="AU18" s="23"/>
    </row>
    <row r="19" spans="1:47" s="17" customFormat="1" ht="30" customHeight="1">
      <c r="A19" s="29"/>
      <c r="B19" s="57" t="s">
        <v>69</v>
      </c>
      <c r="C19" s="22" t="s">
        <v>105</v>
      </c>
      <c r="D19" s="25" t="s">
        <v>98</v>
      </c>
      <c r="E19" s="23" t="s">
        <v>99</v>
      </c>
      <c r="F19" s="45">
        <v>46212</v>
      </c>
      <c r="G19" s="45"/>
      <c r="H19" s="30" t="s">
        <v>91</v>
      </c>
      <c r="I19" s="77">
        <v>8</v>
      </c>
      <c r="J19" s="77">
        <v>0</v>
      </c>
      <c r="K19" s="77">
        <v>0</v>
      </c>
      <c r="L19" s="77">
        <v>0</v>
      </c>
      <c r="M19" s="69">
        <v>0</v>
      </c>
      <c r="N19" s="69"/>
      <c r="O19" s="69">
        <v>0</v>
      </c>
      <c r="P19" s="69"/>
      <c r="Q19" s="77">
        <v>4</v>
      </c>
      <c r="R19" s="77">
        <v>3</v>
      </c>
      <c r="S19" s="77">
        <v>0</v>
      </c>
      <c r="T19" s="77">
        <v>0</v>
      </c>
      <c r="U19" s="77">
        <v>8</v>
      </c>
      <c r="V19" s="77">
        <v>3</v>
      </c>
      <c r="W19" s="77">
        <v>0</v>
      </c>
      <c r="X19" s="77">
        <v>0</v>
      </c>
      <c r="Y19" s="77">
        <v>8</v>
      </c>
      <c r="Z19" s="77">
        <v>3</v>
      </c>
      <c r="AA19" s="77">
        <v>0</v>
      </c>
      <c r="AB19" s="77">
        <v>0</v>
      </c>
      <c r="AC19" s="77">
        <v>8</v>
      </c>
      <c r="AD19" s="77">
        <v>3</v>
      </c>
      <c r="AE19" s="77">
        <v>0</v>
      </c>
      <c r="AF19" s="77">
        <v>0</v>
      </c>
      <c r="AG19" s="77">
        <v>8</v>
      </c>
      <c r="AH19" s="77">
        <v>3</v>
      </c>
      <c r="AI19" s="77">
        <v>0</v>
      </c>
      <c r="AJ19" s="77">
        <v>0</v>
      </c>
      <c r="AK19" s="32">
        <f t="shared" si="0"/>
        <v>44</v>
      </c>
      <c r="AL19" s="32">
        <f t="shared" si="0"/>
        <v>15</v>
      </c>
      <c r="AM19" s="32">
        <f t="shared" si="0"/>
        <v>0</v>
      </c>
      <c r="AN19" s="32">
        <f t="shared" si="0"/>
        <v>0</v>
      </c>
      <c r="AO19" s="31">
        <f t="shared" si="0"/>
        <v>0</v>
      </c>
      <c r="AP19" s="31">
        <f t="shared" si="0"/>
        <v>0</v>
      </c>
      <c r="AQ19" s="31">
        <f t="shared" si="0"/>
        <v>0</v>
      </c>
      <c r="AR19" s="31">
        <f t="shared" si="0"/>
        <v>0</v>
      </c>
      <c r="AS19" s="71"/>
      <c r="AT19" s="71"/>
      <c r="AU19" s="23"/>
    </row>
    <row r="20" spans="1:47" s="17" customFormat="1" ht="30" customHeight="1">
      <c r="A20" s="29"/>
      <c r="B20" s="57" t="s">
        <v>70</v>
      </c>
      <c r="C20" s="22" t="s">
        <v>106</v>
      </c>
      <c r="D20" s="25" t="s">
        <v>100</v>
      </c>
      <c r="E20" s="23" t="s">
        <v>101</v>
      </c>
      <c r="F20" s="45">
        <v>46212</v>
      </c>
      <c r="G20" s="45"/>
      <c r="H20" s="30" t="s">
        <v>91</v>
      </c>
      <c r="I20" s="77">
        <v>8</v>
      </c>
      <c r="J20" s="77">
        <v>0</v>
      </c>
      <c r="K20" s="77">
        <v>0</v>
      </c>
      <c r="L20" s="77">
        <v>0</v>
      </c>
      <c r="M20" s="69">
        <v>0</v>
      </c>
      <c r="N20" s="69"/>
      <c r="O20" s="69">
        <v>0</v>
      </c>
      <c r="P20" s="69"/>
      <c r="Q20" s="77">
        <v>8</v>
      </c>
      <c r="R20" s="77">
        <v>4</v>
      </c>
      <c r="S20" s="77">
        <v>0</v>
      </c>
      <c r="T20" s="77">
        <v>0</v>
      </c>
      <c r="U20" s="77">
        <v>8</v>
      </c>
      <c r="V20" s="77">
        <v>4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77">
        <v>0</v>
      </c>
      <c r="AF20" s="77">
        <v>0</v>
      </c>
      <c r="AG20" s="77">
        <v>0</v>
      </c>
      <c r="AH20" s="77">
        <v>0</v>
      </c>
      <c r="AI20" s="77">
        <v>0</v>
      </c>
      <c r="AJ20" s="77">
        <v>0</v>
      </c>
      <c r="AK20" s="32">
        <f t="shared" si="0"/>
        <v>24</v>
      </c>
      <c r="AL20" s="32">
        <f t="shared" si="0"/>
        <v>8</v>
      </c>
      <c r="AM20" s="32">
        <f t="shared" si="0"/>
        <v>0</v>
      </c>
      <c r="AN20" s="32">
        <f t="shared" si="0"/>
        <v>0</v>
      </c>
      <c r="AO20" s="31">
        <f t="shared" si="0"/>
        <v>0</v>
      </c>
      <c r="AP20" s="31">
        <f t="shared" si="0"/>
        <v>0</v>
      </c>
      <c r="AQ20" s="31">
        <f t="shared" si="0"/>
        <v>0</v>
      </c>
      <c r="AR20" s="31">
        <f t="shared" si="0"/>
        <v>0</v>
      </c>
      <c r="AS20" s="71"/>
      <c r="AT20" s="71"/>
      <c r="AU20" s="23"/>
    </row>
    <row r="21" spans="1:47" s="17" customFormat="1" ht="30" customHeight="1">
      <c r="A21" s="29"/>
      <c r="B21" s="57" t="s">
        <v>158</v>
      </c>
      <c r="C21" s="22" t="s">
        <v>116</v>
      </c>
      <c r="D21" s="25" t="s">
        <v>110</v>
      </c>
      <c r="E21" s="23" t="s">
        <v>111</v>
      </c>
      <c r="F21" s="45">
        <v>46217</v>
      </c>
      <c r="G21" s="45"/>
      <c r="H21" s="30" t="s">
        <v>26</v>
      </c>
      <c r="I21" s="77">
        <v>8</v>
      </c>
      <c r="J21" s="77">
        <v>0</v>
      </c>
      <c r="K21" s="77">
        <v>0</v>
      </c>
      <c r="L21" s="77">
        <v>0</v>
      </c>
      <c r="M21" s="69">
        <v>8</v>
      </c>
      <c r="N21" s="69"/>
      <c r="O21" s="69">
        <v>0</v>
      </c>
      <c r="P21" s="69"/>
      <c r="Q21" s="77">
        <v>8</v>
      </c>
      <c r="R21" s="77">
        <v>4</v>
      </c>
      <c r="S21" s="77">
        <v>0</v>
      </c>
      <c r="T21" s="77">
        <v>0</v>
      </c>
      <c r="U21" s="77">
        <v>8</v>
      </c>
      <c r="V21" s="77">
        <v>4</v>
      </c>
      <c r="W21" s="77">
        <v>0</v>
      </c>
      <c r="X21" s="77">
        <v>0</v>
      </c>
      <c r="Y21" s="77">
        <v>8</v>
      </c>
      <c r="Z21" s="77">
        <v>4</v>
      </c>
      <c r="AA21" s="77">
        <v>0</v>
      </c>
      <c r="AB21" s="77">
        <v>0</v>
      </c>
      <c r="AC21" s="77">
        <v>8</v>
      </c>
      <c r="AD21" s="77">
        <v>4</v>
      </c>
      <c r="AE21" s="77">
        <v>0</v>
      </c>
      <c r="AF21" s="77">
        <v>0</v>
      </c>
      <c r="AG21" s="77">
        <v>8</v>
      </c>
      <c r="AH21" s="77">
        <v>4</v>
      </c>
      <c r="AI21" s="77">
        <v>0</v>
      </c>
      <c r="AJ21" s="77">
        <v>0</v>
      </c>
      <c r="AK21" s="32">
        <f t="shared" si="0"/>
        <v>48</v>
      </c>
      <c r="AL21" s="32">
        <f t="shared" si="0"/>
        <v>20</v>
      </c>
      <c r="AM21" s="32">
        <f t="shared" si="0"/>
        <v>0</v>
      </c>
      <c r="AN21" s="32">
        <f t="shared" si="0"/>
        <v>0</v>
      </c>
      <c r="AO21" s="31">
        <f t="shared" si="0"/>
        <v>8</v>
      </c>
      <c r="AP21" s="31">
        <f t="shared" si="0"/>
        <v>0</v>
      </c>
      <c r="AQ21" s="31">
        <f t="shared" si="0"/>
        <v>0</v>
      </c>
      <c r="AR21" s="31">
        <f t="shared" si="0"/>
        <v>0</v>
      </c>
      <c r="AS21" s="71"/>
      <c r="AT21" s="71"/>
      <c r="AU21" s="23"/>
    </row>
    <row r="22" spans="1:47" s="17" customFormat="1" ht="30" customHeight="1">
      <c r="A22" s="29"/>
      <c r="B22" s="57" t="s">
        <v>159</v>
      </c>
      <c r="C22" s="22" t="s">
        <v>117</v>
      </c>
      <c r="D22" s="25" t="s">
        <v>112</v>
      </c>
      <c r="E22" s="23" t="s">
        <v>113</v>
      </c>
      <c r="F22" s="45">
        <v>46217</v>
      </c>
      <c r="G22" s="45"/>
      <c r="H22" s="30" t="s">
        <v>26</v>
      </c>
      <c r="I22" s="77">
        <v>8</v>
      </c>
      <c r="J22" s="77">
        <v>0</v>
      </c>
      <c r="K22" s="77">
        <v>0</v>
      </c>
      <c r="L22" s="77">
        <v>0</v>
      </c>
      <c r="M22" s="69">
        <v>8</v>
      </c>
      <c r="N22" s="69"/>
      <c r="O22" s="69">
        <v>0</v>
      </c>
      <c r="P22" s="69"/>
      <c r="Q22" s="77">
        <v>0</v>
      </c>
      <c r="R22" s="77">
        <v>0</v>
      </c>
      <c r="S22" s="77">
        <v>0</v>
      </c>
      <c r="T22" s="77">
        <v>0</v>
      </c>
      <c r="U22" s="77">
        <v>8</v>
      </c>
      <c r="V22" s="77">
        <v>4</v>
      </c>
      <c r="W22" s="77">
        <v>0</v>
      </c>
      <c r="X22" s="77">
        <v>0</v>
      </c>
      <c r="Y22" s="77">
        <v>8</v>
      </c>
      <c r="Z22" s="77">
        <v>4</v>
      </c>
      <c r="AA22" s="77">
        <v>0</v>
      </c>
      <c r="AB22" s="77">
        <v>0</v>
      </c>
      <c r="AC22" s="77">
        <v>8</v>
      </c>
      <c r="AD22" s="77">
        <v>4</v>
      </c>
      <c r="AE22" s="77">
        <v>0</v>
      </c>
      <c r="AF22" s="77">
        <v>0</v>
      </c>
      <c r="AG22" s="77">
        <v>8</v>
      </c>
      <c r="AH22" s="77">
        <v>0</v>
      </c>
      <c r="AI22" s="77">
        <v>0</v>
      </c>
      <c r="AJ22" s="77">
        <v>0</v>
      </c>
      <c r="AK22" s="32">
        <f t="shared" si="0"/>
        <v>40</v>
      </c>
      <c r="AL22" s="32">
        <f t="shared" si="0"/>
        <v>12</v>
      </c>
      <c r="AM22" s="32">
        <f t="shared" si="0"/>
        <v>0</v>
      </c>
      <c r="AN22" s="32">
        <f t="shared" si="0"/>
        <v>0</v>
      </c>
      <c r="AO22" s="31">
        <f t="shared" si="0"/>
        <v>8</v>
      </c>
      <c r="AP22" s="31">
        <f t="shared" si="0"/>
        <v>0</v>
      </c>
      <c r="AQ22" s="31">
        <f t="shared" si="0"/>
        <v>0</v>
      </c>
      <c r="AR22" s="31">
        <f t="shared" si="0"/>
        <v>0</v>
      </c>
      <c r="AS22" s="71"/>
      <c r="AT22" s="71"/>
      <c r="AU22" s="23"/>
    </row>
    <row r="23" spans="1:47" s="17" customFormat="1" ht="30" customHeight="1">
      <c r="A23" s="29"/>
      <c r="B23" s="57" t="s">
        <v>71</v>
      </c>
      <c r="C23" s="22" t="s">
        <v>118</v>
      </c>
      <c r="D23" s="25" t="s">
        <v>114</v>
      </c>
      <c r="E23" s="23" t="s">
        <v>115</v>
      </c>
      <c r="F23" s="45">
        <v>46217</v>
      </c>
      <c r="G23" s="45"/>
      <c r="H23" s="30" t="s">
        <v>26</v>
      </c>
      <c r="I23" s="77">
        <v>8</v>
      </c>
      <c r="J23" s="77">
        <v>0</v>
      </c>
      <c r="K23" s="77">
        <v>0</v>
      </c>
      <c r="L23" s="77">
        <v>0</v>
      </c>
      <c r="M23" s="69">
        <v>0</v>
      </c>
      <c r="N23" s="69"/>
      <c r="O23" s="69">
        <v>0</v>
      </c>
      <c r="P23" s="69"/>
      <c r="Q23" s="77">
        <v>8</v>
      </c>
      <c r="R23" s="77">
        <v>4</v>
      </c>
      <c r="S23" s="77">
        <v>0</v>
      </c>
      <c r="T23" s="77">
        <v>0</v>
      </c>
      <c r="U23" s="77">
        <v>8</v>
      </c>
      <c r="V23" s="77">
        <v>4</v>
      </c>
      <c r="W23" s="77">
        <v>0</v>
      </c>
      <c r="X23" s="77">
        <v>0</v>
      </c>
      <c r="Y23" s="77">
        <v>8</v>
      </c>
      <c r="Z23" s="77">
        <v>4</v>
      </c>
      <c r="AA23" s="77">
        <v>0</v>
      </c>
      <c r="AB23" s="77">
        <v>0</v>
      </c>
      <c r="AC23" s="77">
        <v>8</v>
      </c>
      <c r="AD23" s="77">
        <v>4</v>
      </c>
      <c r="AE23" s="77">
        <v>0</v>
      </c>
      <c r="AF23" s="77">
        <v>0</v>
      </c>
      <c r="AG23" s="77">
        <v>8</v>
      </c>
      <c r="AH23" s="77">
        <v>4</v>
      </c>
      <c r="AI23" s="77">
        <v>0</v>
      </c>
      <c r="AJ23" s="77">
        <v>0</v>
      </c>
      <c r="AK23" s="32">
        <f t="shared" si="0"/>
        <v>48</v>
      </c>
      <c r="AL23" s="32">
        <f t="shared" si="0"/>
        <v>20</v>
      </c>
      <c r="AM23" s="32">
        <f t="shared" si="0"/>
        <v>0</v>
      </c>
      <c r="AN23" s="32">
        <f t="shared" si="0"/>
        <v>0</v>
      </c>
      <c r="AO23" s="31">
        <f t="shared" si="0"/>
        <v>0</v>
      </c>
      <c r="AP23" s="31">
        <f t="shared" si="0"/>
        <v>0</v>
      </c>
      <c r="AQ23" s="31">
        <f t="shared" si="0"/>
        <v>0</v>
      </c>
      <c r="AR23" s="31">
        <f t="shared" si="0"/>
        <v>0</v>
      </c>
      <c r="AS23" s="71"/>
      <c r="AT23" s="71"/>
      <c r="AU23" s="23"/>
    </row>
    <row r="24" spans="1:47" s="17" customFormat="1" ht="30" customHeight="1">
      <c r="A24" s="29"/>
      <c r="B24" s="57" t="s">
        <v>160</v>
      </c>
      <c r="C24" s="22" t="s">
        <v>119</v>
      </c>
      <c r="D24" s="25" t="s">
        <v>120</v>
      </c>
      <c r="E24" s="23" t="s">
        <v>121</v>
      </c>
      <c r="F24" s="45">
        <v>46224</v>
      </c>
      <c r="G24" s="45"/>
      <c r="H24" s="30" t="s">
        <v>91</v>
      </c>
      <c r="I24" s="77">
        <v>8</v>
      </c>
      <c r="J24" s="77">
        <v>2.5</v>
      </c>
      <c r="K24" s="77">
        <v>0</v>
      </c>
      <c r="L24" s="77">
        <v>0</v>
      </c>
      <c r="M24" s="69">
        <v>10.5</v>
      </c>
      <c r="N24" s="69"/>
      <c r="O24" s="69">
        <v>0</v>
      </c>
      <c r="P24" s="69"/>
      <c r="Q24" s="77">
        <v>8</v>
      </c>
      <c r="R24" s="77">
        <v>2.5</v>
      </c>
      <c r="S24" s="77">
        <v>0</v>
      </c>
      <c r="T24" s="77">
        <v>0</v>
      </c>
      <c r="U24" s="77">
        <v>8</v>
      </c>
      <c r="V24" s="77">
        <v>2.5</v>
      </c>
      <c r="W24" s="77">
        <v>0</v>
      </c>
      <c r="X24" s="77">
        <v>0</v>
      </c>
      <c r="Y24" s="77">
        <v>8</v>
      </c>
      <c r="Z24" s="77">
        <v>2.5</v>
      </c>
      <c r="AA24" s="77">
        <v>0</v>
      </c>
      <c r="AB24" s="77">
        <v>0</v>
      </c>
      <c r="AC24" s="77">
        <v>8</v>
      </c>
      <c r="AD24" s="77">
        <v>2</v>
      </c>
      <c r="AE24" s="77">
        <v>0</v>
      </c>
      <c r="AF24" s="77">
        <v>0</v>
      </c>
      <c r="AG24" s="77">
        <v>8</v>
      </c>
      <c r="AH24" s="77">
        <v>3</v>
      </c>
      <c r="AI24" s="77">
        <v>0</v>
      </c>
      <c r="AJ24" s="77">
        <v>0</v>
      </c>
      <c r="AK24" s="32">
        <f t="shared" si="0"/>
        <v>48</v>
      </c>
      <c r="AL24" s="32">
        <f t="shared" si="0"/>
        <v>15</v>
      </c>
      <c r="AM24" s="32">
        <f t="shared" si="0"/>
        <v>0</v>
      </c>
      <c r="AN24" s="32">
        <f t="shared" si="0"/>
        <v>0</v>
      </c>
      <c r="AO24" s="31">
        <f t="shared" si="0"/>
        <v>10.5</v>
      </c>
      <c r="AP24" s="31">
        <f t="shared" si="0"/>
        <v>0</v>
      </c>
      <c r="AQ24" s="31">
        <f t="shared" si="0"/>
        <v>0</v>
      </c>
      <c r="AR24" s="31">
        <f t="shared" si="0"/>
        <v>0</v>
      </c>
      <c r="AS24" s="71"/>
      <c r="AT24" s="71"/>
      <c r="AU24" s="23"/>
    </row>
    <row r="25" spans="1:47" s="17" customFormat="1" ht="30" customHeight="1">
      <c r="A25" s="29"/>
      <c r="B25" s="57" t="s">
        <v>161</v>
      </c>
      <c r="C25" s="22" t="s">
        <v>122</v>
      </c>
      <c r="D25" s="25" t="s">
        <v>123</v>
      </c>
      <c r="E25" s="23" t="s">
        <v>124</v>
      </c>
      <c r="F25" s="45">
        <v>46224</v>
      </c>
      <c r="G25" s="45"/>
      <c r="H25" s="30" t="s">
        <v>90</v>
      </c>
      <c r="I25" s="77">
        <v>8</v>
      </c>
      <c r="J25" s="77">
        <v>3</v>
      </c>
      <c r="K25" s="77">
        <v>0</v>
      </c>
      <c r="L25" s="77">
        <v>0</v>
      </c>
      <c r="M25" s="69">
        <v>0</v>
      </c>
      <c r="N25" s="69"/>
      <c r="O25" s="69">
        <v>0</v>
      </c>
      <c r="P25" s="69"/>
      <c r="Q25" s="77">
        <v>8</v>
      </c>
      <c r="R25" s="77">
        <v>3</v>
      </c>
      <c r="S25" s="77">
        <v>0</v>
      </c>
      <c r="T25" s="77">
        <v>0</v>
      </c>
      <c r="U25" s="77">
        <v>8</v>
      </c>
      <c r="V25" s="77">
        <v>3</v>
      </c>
      <c r="W25" s="77">
        <v>0</v>
      </c>
      <c r="X25" s="77">
        <v>0</v>
      </c>
      <c r="Y25" s="77">
        <v>8</v>
      </c>
      <c r="Z25" s="77">
        <v>3</v>
      </c>
      <c r="AA25" s="77">
        <v>0</v>
      </c>
      <c r="AB25" s="77">
        <v>0</v>
      </c>
      <c r="AC25" s="77">
        <v>8</v>
      </c>
      <c r="AD25" s="77">
        <v>3</v>
      </c>
      <c r="AE25" s="77">
        <v>0</v>
      </c>
      <c r="AF25" s="77">
        <v>0</v>
      </c>
      <c r="AG25" s="77">
        <v>8</v>
      </c>
      <c r="AH25" s="77">
        <v>3</v>
      </c>
      <c r="AI25" s="77">
        <v>0</v>
      </c>
      <c r="AJ25" s="77">
        <v>0</v>
      </c>
      <c r="AK25" s="32">
        <f t="shared" si="0"/>
        <v>48</v>
      </c>
      <c r="AL25" s="32">
        <f t="shared" si="0"/>
        <v>18</v>
      </c>
      <c r="AM25" s="32">
        <f t="shared" si="0"/>
        <v>0</v>
      </c>
      <c r="AN25" s="32">
        <f t="shared" si="0"/>
        <v>0</v>
      </c>
      <c r="AO25" s="31">
        <f t="shared" si="0"/>
        <v>0</v>
      </c>
      <c r="AP25" s="31">
        <f t="shared" si="0"/>
        <v>0</v>
      </c>
      <c r="AQ25" s="31">
        <f t="shared" si="0"/>
        <v>0</v>
      </c>
      <c r="AR25" s="31">
        <f t="shared" si="0"/>
        <v>0</v>
      </c>
      <c r="AS25" s="71"/>
      <c r="AT25" s="71"/>
      <c r="AU25" s="23"/>
    </row>
    <row r="26" spans="1:47" s="17" customFormat="1" ht="30" customHeight="1">
      <c r="A26" s="29"/>
      <c r="B26" s="57" t="s">
        <v>72</v>
      </c>
      <c r="C26" s="22" t="s">
        <v>125</v>
      </c>
      <c r="D26" s="25" t="s">
        <v>126</v>
      </c>
      <c r="E26" s="23" t="s">
        <v>127</v>
      </c>
      <c r="F26" s="45">
        <v>46224</v>
      </c>
      <c r="G26" s="45"/>
      <c r="H26" s="30" t="s">
        <v>90</v>
      </c>
      <c r="I26" s="77">
        <v>8</v>
      </c>
      <c r="J26" s="77">
        <v>0</v>
      </c>
      <c r="K26" s="77">
        <v>0</v>
      </c>
      <c r="L26" s="77">
        <v>0</v>
      </c>
      <c r="M26" s="69">
        <v>0</v>
      </c>
      <c r="N26" s="69"/>
      <c r="O26" s="69">
        <v>0</v>
      </c>
      <c r="P26" s="69"/>
      <c r="Q26" s="77">
        <v>8</v>
      </c>
      <c r="R26" s="77">
        <v>0</v>
      </c>
      <c r="S26" s="77">
        <v>0</v>
      </c>
      <c r="T26" s="77">
        <v>0</v>
      </c>
      <c r="U26" s="77">
        <v>8</v>
      </c>
      <c r="V26" s="77">
        <v>0</v>
      </c>
      <c r="W26" s="77">
        <v>0</v>
      </c>
      <c r="X26" s="77">
        <v>0</v>
      </c>
      <c r="Y26" s="77">
        <v>8</v>
      </c>
      <c r="Z26" s="77">
        <v>0</v>
      </c>
      <c r="AA26" s="77">
        <v>0</v>
      </c>
      <c r="AB26" s="77">
        <v>0</v>
      </c>
      <c r="AC26" s="77">
        <v>8</v>
      </c>
      <c r="AD26" s="77">
        <v>0</v>
      </c>
      <c r="AE26" s="77">
        <v>0</v>
      </c>
      <c r="AF26" s="77">
        <v>0</v>
      </c>
      <c r="AG26" s="77">
        <v>8</v>
      </c>
      <c r="AH26" s="77">
        <v>0</v>
      </c>
      <c r="AI26" s="77">
        <v>0</v>
      </c>
      <c r="AJ26" s="77">
        <v>0</v>
      </c>
      <c r="AK26" s="32">
        <f t="shared" si="0"/>
        <v>48</v>
      </c>
      <c r="AL26" s="32">
        <f t="shared" si="0"/>
        <v>0</v>
      </c>
      <c r="AM26" s="32">
        <f t="shared" si="0"/>
        <v>0</v>
      </c>
      <c r="AN26" s="32">
        <f t="shared" si="0"/>
        <v>0</v>
      </c>
      <c r="AO26" s="31">
        <f t="shared" si="0"/>
        <v>0</v>
      </c>
      <c r="AP26" s="31">
        <f t="shared" si="0"/>
        <v>0</v>
      </c>
      <c r="AQ26" s="31">
        <f t="shared" si="0"/>
        <v>0</v>
      </c>
      <c r="AR26" s="31">
        <f t="shared" si="0"/>
        <v>0</v>
      </c>
      <c r="AS26" s="71"/>
      <c r="AT26" s="71"/>
      <c r="AU26" s="23"/>
    </row>
    <row r="27" spans="1:47" s="17" customFormat="1" ht="30" customHeight="1">
      <c r="A27" s="29"/>
      <c r="B27" s="57" t="s">
        <v>162</v>
      </c>
      <c r="C27" s="22" t="s">
        <v>152</v>
      </c>
      <c r="D27" s="25" t="s">
        <v>140</v>
      </c>
      <c r="E27" s="83" t="s">
        <v>141</v>
      </c>
      <c r="F27" s="45">
        <v>46238</v>
      </c>
      <c r="G27" s="45"/>
      <c r="H27" s="30" t="s">
        <v>26</v>
      </c>
      <c r="I27" s="77">
        <v>8</v>
      </c>
      <c r="J27" s="77">
        <v>0</v>
      </c>
      <c r="K27" s="77">
        <v>0</v>
      </c>
      <c r="L27" s="77">
        <v>0</v>
      </c>
      <c r="M27" s="69">
        <v>0</v>
      </c>
      <c r="N27" s="69"/>
      <c r="O27" s="69">
        <v>0</v>
      </c>
      <c r="P27" s="69"/>
      <c r="Q27" s="77">
        <v>8</v>
      </c>
      <c r="R27" s="77">
        <v>4</v>
      </c>
      <c r="S27" s="77">
        <v>0</v>
      </c>
      <c r="T27" s="77">
        <v>0</v>
      </c>
      <c r="U27" s="77">
        <v>8</v>
      </c>
      <c r="V27" s="77">
        <v>4</v>
      </c>
      <c r="W27" s="77">
        <v>0</v>
      </c>
      <c r="X27" s="77">
        <v>0</v>
      </c>
      <c r="Y27" s="77">
        <v>8</v>
      </c>
      <c r="Z27" s="77">
        <v>4</v>
      </c>
      <c r="AA27" s="77">
        <v>0</v>
      </c>
      <c r="AB27" s="77">
        <v>0</v>
      </c>
      <c r="AC27" s="77">
        <v>8</v>
      </c>
      <c r="AD27" s="84">
        <v>4</v>
      </c>
      <c r="AE27" s="84">
        <v>0</v>
      </c>
      <c r="AF27" s="84">
        <v>0</v>
      </c>
      <c r="AG27" s="84">
        <v>0</v>
      </c>
      <c r="AH27" s="84">
        <v>0</v>
      </c>
      <c r="AI27" s="84">
        <v>0</v>
      </c>
      <c r="AJ27" s="84">
        <v>0</v>
      </c>
      <c r="AK27" s="32">
        <f t="shared" ref="AK27:AR42" si="1">SUMIF($I$10:$AJ$10,AK$10,$I27:$AJ27)</f>
        <v>40</v>
      </c>
      <c r="AL27" s="32">
        <f t="shared" si="1"/>
        <v>16</v>
      </c>
      <c r="AM27" s="32">
        <f t="shared" si="1"/>
        <v>0</v>
      </c>
      <c r="AN27" s="32">
        <f t="shared" si="1"/>
        <v>0</v>
      </c>
      <c r="AO27" s="31">
        <f t="shared" si="1"/>
        <v>0</v>
      </c>
      <c r="AP27" s="31">
        <f t="shared" si="1"/>
        <v>0</v>
      </c>
      <c r="AQ27" s="31">
        <f t="shared" si="1"/>
        <v>0</v>
      </c>
      <c r="AR27" s="31">
        <f t="shared" si="1"/>
        <v>0</v>
      </c>
      <c r="AS27" s="71"/>
      <c r="AT27" s="71">
        <f>IF($C27="","",_xlfn.IFNA(INDEX([2]Sheet2!$P$4:$P$127,MATCH($C27,[2]Sheet2!$C$4:$C$127,0)),0))</f>
        <v>0</v>
      </c>
      <c r="AU27" s="23"/>
    </row>
    <row r="28" spans="1:47" s="17" customFormat="1" ht="30" customHeight="1">
      <c r="A28" s="29"/>
      <c r="B28" s="57" t="s">
        <v>163</v>
      </c>
      <c r="C28" s="22" t="s">
        <v>153</v>
      </c>
      <c r="D28" s="25" t="s">
        <v>142</v>
      </c>
      <c r="E28" s="83" t="s">
        <v>143</v>
      </c>
      <c r="F28" s="45">
        <v>46238</v>
      </c>
      <c r="G28" s="45"/>
      <c r="H28" s="30" t="s">
        <v>37</v>
      </c>
      <c r="I28" s="77">
        <v>0</v>
      </c>
      <c r="J28" s="77">
        <v>2</v>
      </c>
      <c r="K28" s="77">
        <v>8</v>
      </c>
      <c r="L28" s="77">
        <v>0</v>
      </c>
      <c r="M28" s="69">
        <v>0</v>
      </c>
      <c r="N28" s="69"/>
      <c r="O28" s="69">
        <v>0</v>
      </c>
      <c r="P28" s="69"/>
      <c r="Q28" s="77">
        <v>0</v>
      </c>
      <c r="R28" s="77">
        <v>2</v>
      </c>
      <c r="S28" s="77">
        <v>8</v>
      </c>
      <c r="T28" s="77">
        <v>2</v>
      </c>
      <c r="U28" s="77">
        <v>0</v>
      </c>
      <c r="V28" s="77">
        <v>2</v>
      </c>
      <c r="W28" s="77">
        <v>8</v>
      </c>
      <c r="X28" s="77">
        <v>2</v>
      </c>
      <c r="Y28" s="77">
        <v>0</v>
      </c>
      <c r="Z28" s="77">
        <v>2</v>
      </c>
      <c r="AA28" s="77">
        <v>8</v>
      </c>
      <c r="AB28" s="77">
        <v>2</v>
      </c>
      <c r="AC28" s="77">
        <v>0</v>
      </c>
      <c r="AD28" s="84">
        <v>2</v>
      </c>
      <c r="AE28" s="84">
        <v>8</v>
      </c>
      <c r="AF28" s="84">
        <v>2</v>
      </c>
      <c r="AG28" s="84">
        <v>0</v>
      </c>
      <c r="AH28" s="84">
        <v>2</v>
      </c>
      <c r="AI28" s="84">
        <v>8</v>
      </c>
      <c r="AJ28" s="84">
        <v>2</v>
      </c>
      <c r="AK28" s="32">
        <f t="shared" si="1"/>
        <v>0</v>
      </c>
      <c r="AL28" s="32">
        <f t="shared" si="1"/>
        <v>12</v>
      </c>
      <c r="AM28" s="32">
        <f t="shared" si="1"/>
        <v>48</v>
      </c>
      <c r="AN28" s="32">
        <f t="shared" si="1"/>
        <v>10</v>
      </c>
      <c r="AO28" s="31">
        <f t="shared" si="1"/>
        <v>0</v>
      </c>
      <c r="AP28" s="31">
        <f t="shared" si="1"/>
        <v>0</v>
      </c>
      <c r="AQ28" s="31">
        <f t="shared" si="1"/>
        <v>0</v>
      </c>
      <c r="AR28" s="31">
        <f t="shared" si="1"/>
        <v>0</v>
      </c>
      <c r="AS28" s="71"/>
      <c r="AT28" s="71">
        <f>IF($C28="","",_xlfn.IFNA(INDEX([2]Sheet2!$P$4:$P$127,MATCH($C28,[2]Sheet2!$C$4:$C$127,0)),0))</f>
        <v>0</v>
      </c>
      <c r="AU28" s="23"/>
    </row>
    <row r="29" spans="1:47" s="17" customFormat="1" ht="30" customHeight="1">
      <c r="A29" s="29"/>
      <c r="B29" s="57" t="s">
        <v>164</v>
      </c>
      <c r="C29" s="22" t="s">
        <v>154</v>
      </c>
      <c r="D29" s="25" t="s">
        <v>144</v>
      </c>
      <c r="E29" s="83" t="s">
        <v>169</v>
      </c>
      <c r="F29" s="45">
        <v>46238</v>
      </c>
      <c r="G29" s="45"/>
      <c r="H29" s="30" t="s">
        <v>37</v>
      </c>
      <c r="I29" s="77">
        <v>8</v>
      </c>
      <c r="J29" s="77">
        <v>4</v>
      </c>
      <c r="K29" s="77">
        <v>0</v>
      </c>
      <c r="L29" s="77">
        <v>0</v>
      </c>
      <c r="M29" s="69">
        <v>0</v>
      </c>
      <c r="N29" s="69"/>
      <c r="O29" s="69">
        <v>0</v>
      </c>
      <c r="P29" s="69"/>
      <c r="Q29" s="77">
        <v>8</v>
      </c>
      <c r="R29" s="77">
        <v>4</v>
      </c>
      <c r="S29" s="77">
        <v>0</v>
      </c>
      <c r="T29" s="77">
        <v>0</v>
      </c>
      <c r="U29" s="77">
        <v>8</v>
      </c>
      <c r="V29" s="77">
        <v>4</v>
      </c>
      <c r="W29" s="77">
        <v>0</v>
      </c>
      <c r="X29" s="77">
        <v>0</v>
      </c>
      <c r="Y29" s="77">
        <v>8</v>
      </c>
      <c r="Z29" s="77">
        <v>4</v>
      </c>
      <c r="AA29" s="77">
        <v>0</v>
      </c>
      <c r="AB29" s="77">
        <v>0</v>
      </c>
      <c r="AC29" s="77">
        <v>8</v>
      </c>
      <c r="AD29" s="84">
        <v>4</v>
      </c>
      <c r="AE29" s="84">
        <v>0</v>
      </c>
      <c r="AF29" s="84">
        <v>0</v>
      </c>
      <c r="AG29" s="84">
        <v>8</v>
      </c>
      <c r="AH29" s="84">
        <v>4</v>
      </c>
      <c r="AI29" s="84">
        <v>0</v>
      </c>
      <c r="AJ29" s="84">
        <v>0</v>
      </c>
      <c r="AK29" s="32">
        <f t="shared" si="1"/>
        <v>48</v>
      </c>
      <c r="AL29" s="32">
        <f t="shared" si="1"/>
        <v>24</v>
      </c>
      <c r="AM29" s="32">
        <f t="shared" si="1"/>
        <v>0</v>
      </c>
      <c r="AN29" s="32">
        <f t="shared" si="1"/>
        <v>0</v>
      </c>
      <c r="AO29" s="31">
        <f t="shared" si="1"/>
        <v>0</v>
      </c>
      <c r="AP29" s="31">
        <f t="shared" si="1"/>
        <v>0</v>
      </c>
      <c r="AQ29" s="31">
        <f t="shared" si="1"/>
        <v>0</v>
      </c>
      <c r="AR29" s="31">
        <f t="shared" si="1"/>
        <v>0</v>
      </c>
      <c r="AS29" s="71"/>
      <c r="AT29" s="71">
        <f>IF($C29="","",_xlfn.IFNA(INDEX([2]Sheet2!$P$4:$P$127,MATCH($C29,[2]Sheet2!$C$4:$C$127,0)),0))</f>
        <v>0</v>
      </c>
      <c r="AU29" s="23"/>
    </row>
    <row r="30" spans="1:47" s="17" customFormat="1" ht="30" customHeight="1">
      <c r="A30" s="29"/>
      <c r="B30" s="57" t="s">
        <v>73</v>
      </c>
      <c r="C30" s="22" t="s">
        <v>155</v>
      </c>
      <c r="D30" s="25" t="s">
        <v>145</v>
      </c>
      <c r="E30" s="83" t="s">
        <v>146</v>
      </c>
      <c r="F30" s="89">
        <v>46238</v>
      </c>
      <c r="G30" s="45"/>
      <c r="H30" s="30" t="s">
        <v>37</v>
      </c>
      <c r="I30" s="77">
        <v>0</v>
      </c>
      <c r="J30" s="77">
        <v>2</v>
      </c>
      <c r="K30" s="77">
        <v>8</v>
      </c>
      <c r="L30" s="77">
        <v>0</v>
      </c>
      <c r="M30" s="69">
        <v>0</v>
      </c>
      <c r="N30" s="69"/>
      <c r="O30" s="69">
        <v>0</v>
      </c>
      <c r="P30" s="69"/>
      <c r="Q30" s="77">
        <v>0</v>
      </c>
      <c r="R30" s="77">
        <v>2</v>
      </c>
      <c r="S30" s="77">
        <v>8</v>
      </c>
      <c r="T30" s="77">
        <v>2</v>
      </c>
      <c r="U30" s="77">
        <v>0</v>
      </c>
      <c r="V30" s="77">
        <v>2</v>
      </c>
      <c r="W30" s="77">
        <v>8</v>
      </c>
      <c r="X30" s="77">
        <v>2</v>
      </c>
      <c r="Y30" s="77">
        <v>0</v>
      </c>
      <c r="Z30" s="77">
        <v>2</v>
      </c>
      <c r="AA30" s="77">
        <v>8</v>
      </c>
      <c r="AB30" s="77">
        <v>2</v>
      </c>
      <c r="AC30" s="77">
        <v>0</v>
      </c>
      <c r="AD30" s="84">
        <v>2</v>
      </c>
      <c r="AE30" s="84">
        <v>8</v>
      </c>
      <c r="AF30" s="84">
        <v>2</v>
      </c>
      <c r="AG30" s="84">
        <v>0</v>
      </c>
      <c r="AH30" s="84">
        <v>2</v>
      </c>
      <c r="AI30" s="84">
        <v>8</v>
      </c>
      <c r="AJ30" s="84">
        <v>2</v>
      </c>
      <c r="AK30" s="32">
        <f t="shared" si="1"/>
        <v>0</v>
      </c>
      <c r="AL30" s="32">
        <f t="shared" si="1"/>
        <v>12</v>
      </c>
      <c r="AM30" s="32">
        <f t="shared" si="1"/>
        <v>48</v>
      </c>
      <c r="AN30" s="32">
        <f t="shared" si="1"/>
        <v>10</v>
      </c>
      <c r="AO30" s="31">
        <f t="shared" si="1"/>
        <v>0</v>
      </c>
      <c r="AP30" s="31">
        <f t="shared" si="1"/>
        <v>0</v>
      </c>
      <c r="AQ30" s="31">
        <f t="shared" si="1"/>
        <v>0</v>
      </c>
      <c r="AR30" s="31">
        <f t="shared" si="1"/>
        <v>0</v>
      </c>
      <c r="AS30" s="71"/>
      <c r="AT30" s="71">
        <f>IF($C30="","",_xlfn.IFNA(INDEX([2]Sheet2!$P$4:$P$127,MATCH($C30,[2]Sheet2!$C$4:$C$127,0)),0))</f>
        <v>0</v>
      </c>
      <c r="AU30" s="23"/>
    </row>
    <row r="31" spans="1:47" s="17" customFormat="1" ht="30" customHeight="1">
      <c r="A31" s="29"/>
      <c r="B31" s="57" t="s">
        <v>165</v>
      </c>
      <c r="C31" s="22" t="s">
        <v>191</v>
      </c>
      <c r="D31" s="86" t="s">
        <v>170</v>
      </c>
      <c r="E31" s="83" t="s">
        <v>171</v>
      </c>
      <c r="F31" s="88" t="s">
        <v>180</v>
      </c>
      <c r="G31" s="45"/>
      <c r="H31" s="30" t="s">
        <v>26</v>
      </c>
      <c r="I31" s="77">
        <v>8</v>
      </c>
      <c r="J31" s="77">
        <v>0</v>
      </c>
      <c r="K31" s="77">
        <v>0</v>
      </c>
      <c r="L31" s="77">
        <v>0</v>
      </c>
      <c r="M31" s="69">
        <v>0</v>
      </c>
      <c r="N31" s="69"/>
      <c r="O31" s="69">
        <v>0</v>
      </c>
      <c r="P31" s="69"/>
      <c r="Q31" s="77">
        <v>8</v>
      </c>
      <c r="R31" s="77">
        <v>0</v>
      </c>
      <c r="S31" s="77">
        <v>0</v>
      </c>
      <c r="T31" s="77">
        <v>0</v>
      </c>
      <c r="U31" s="77">
        <v>8</v>
      </c>
      <c r="V31" s="77">
        <v>2</v>
      </c>
      <c r="W31" s="77">
        <v>0</v>
      </c>
      <c r="X31" s="77">
        <v>0</v>
      </c>
      <c r="Y31" s="77">
        <v>8</v>
      </c>
      <c r="Z31" s="77">
        <v>3</v>
      </c>
      <c r="AA31" s="77">
        <v>0</v>
      </c>
      <c r="AB31" s="77">
        <v>0</v>
      </c>
      <c r="AC31" s="77">
        <v>8</v>
      </c>
      <c r="AD31" s="84">
        <v>0</v>
      </c>
      <c r="AE31" s="84">
        <v>0</v>
      </c>
      <c r="AF31" s="84">
        <v>0</v>
      </c>
      <c r="AG31" s="84">
        <v>8</v>
      </c>
      <c r="AH31" s="84">
        <v>3</v>
      </c>
      <c r="AI31" s="84">
        <v>0</v>
      </c>
      <c r="AJ31" s="84">
        <v>0</v>
      </c>
      <c r="AK31" s="32">
        <f t="shared" si="1"/>
        <v>48</v>
      </c>
      <c r="AL31" s="32">
        <f t="shared" si="1"/>
        <v>8</v>
      </c>
      <c r="AM31" s="32">
        <f t="shared" si="1"/>
        <v>0</v>
      </c>
      <c r="AN31" s="32">
        <f t="shared" si="1"/>
        <v>0</v>
      </c>
      <c r="AO31" s="31">
        <f t="shared" si="1"/>
        <v>0</v>
      </c>
      <c r="AP31" s="31">
        <f t="shared" si="1"/>
        <v>0</v>
      </c>
      <c r="AQ31" s="31">
        <f t="shared" si="1"/>
        <v>0</v>
      </c>
      <c r="AR31" s="31">
        <f t="shared" si="1"/>
        <v>0</v>
      </c>
      <c r="AS31" s="71"/>
      <c r="AT31" s="71"/>
      <c r="AU31" s="23"/>
    </row>
    <row r="32" spans="1:47" s="17" customFormat="1" ht="30" customHeight="1">
      <c r="A32" s="29"/>
      <c r="B32" s="57" t="s">
        <v>166</v>
      </c>
      <c r="C32" s="22" t="s">
        <v>192</v>
      </c>
      <c r="D32" s="86" t="s">
        <v>172</v>
      </c>
      <c r="E32" s="83" t="s">
        <v>173</v>
      </c>
      <c r="F32" s="88" t="s">
        <v>180</v>
      </c>
      <c r="G32" s="45"/>
      <c r="H32" s="30" t="s">
        <v>26</v>
      </c>
      <c r="I32" s="77">
        <v>8</v>
      </c>
      <c r="J32" s="77">
        <v>0</v>
      </c>
      <c r="K32" s="77">
        <v>0</v>
      </c>
      <c r="L32" s="77">
        <v>0</v>
      </c>
      <c r="M32" s="69">
        <v>4</v>
      </c>
      <c r="N32" s="69"/>
      <c r="O32" s="69">
        <v>0</v>
      </c>
      <c r="P32" s="69"/>
      <c r="Q32" s="77">
        <v>8</v>
      </c>
      <c r="R32" s="77">
        <v>3</v>
      </c>
      <c r="S32" s="77">
        <v>0</v>
      </c>
      <c r="T32" s="77">
        <v>0</v>
      </c>
      <c r="U32" s="77">
        <v>8</v>
      </c>
      <c r="V32" s="77">
        <v>3</v>
      </c>
      <c r="W32" s="77">
        <v>0</v>
      </c>
      <c r="X32" s="77">
        <v>0</v>
      </c>
      <c r="Y32" s="77">
        <v>8</v>
      </c>
      <c r="Z32" s="77">
        <v>3</v>
      </c>
      <c r="AA32" s="77">
        <v>0</v>
      </c>
      <c r="AB32" s="77">
        <v>0</v>
      </c>
      <c r="AC32" s="77">
        <v>8</v>
      </c>
      <c r="AD32" s="84">
        <v>3</v>
      </c>
      <c r="AE32" s="84">
        <v>0</v>
      </c>
      <c r="AF32" s="84">
        <v>0</v>
      </c>
      <c r="AG32" s="84">
        <v>8</v>
      </c>
      <c r="AH32" s="84">
        <v>0</v>
      </c>
      <c r="AI32" s="84">
        <v>0</v>
      </c>
      <c r="AJ32" s="84">
        <v>0</v>
      </c>
      <c r="AK32" s="32">
        <f t="shared" si="1"/>
        <v>48</v>
      </c>
      <c r="AL32" s="32">
        <f t="shared" si="1"/>
        <v>12</v>
      </c>
      <c r="AM32" s="32">
        <f t="shared" si="1"/>
        <v>0</v>
      </c>
      <c r="AN32" s="32">
        <f t="shared" si="1"/>
        <v>0</v>
      </c>
      <c r="AO32" s="31">
        <f t="shared" si="1"/>
        <v>4</v>
      </c>
      <c r="AP32" s="31">
        <f t="shared" si="1"/>
        <v>0</v>
      </c>
      <c r="AQ32" s="31">
        <f t="shared" si="1"/>
        <v>0</v>
      </c>
      <c r="AR32" s="31">
        <f t="shared" si="1"/>
        <v>0</v>
      </c>
      <c r="AS32" s="71"/>
      <c r="AT32" s="71"/>
      <c r="AU32" s="23"/>
    </row>
    <row r="33" spans="1:47" s="17" customFormat="1" ht="30" customHeight="1">
      <c r="A33" s="29"/>
      <c r="B33" s="57" t="s">
        <v>74</v>
      </c>
      <c r="C33" s="22" t="s">
        <v>193</v>
      </c>
      <c r="D33" s="86" t="s">
        <v>174</v>
      </c>
      <c r="E33" s="83" t="s">
        <v>175</v>
      </c>
      <c r="F33" s="88" t="s">
        <v>180</v>
      </c>
      <c r="G33" s="45"/>
      <c r="H33" s="30" t="s">
        <v>26</v>
      </c>
      <c r="I33" s="77">
        <v>8</v>
      </c>
      <c r="J33" s="77">
        <v>0</v>
      </c>
      <c r="K33" s="77">
        <v>0</v>
      </c>
      <c r="L33" s="77">
        <v>0</v>
      </c>
      <c r="M33" s="69">
        <v>0</v>
      </c>
      <c r="N33" s="69"/>
      <c r="O33" s="69">
        <v>0</v>
      </c>
      <c r="P33" s="69"/>
      <c r="Q33" s="77">
        <v>8</v>
      </c>
      <c r="R33" s="77">
        <v>3</v>
      </c>
      <c r="S33" s="77">
        <v>0</v>
      </c>
      <c r="T33" s="77">
        <v>0</v>
      </c>
      <c r="U33" s="77">
        <v>8</v>
      </c>
      <c r="V33" s="77">
        <v>3</v>
      </c>
      <c r="W33" s="77">
        <v>0</v>
      </c>
      <c r="X33" s="77">
        <v>0</v>
      </c>
      <c r="Y33" s="77">
        <v>8</v>
      </c>
      <c r="Z33" s="77">
        <v>3</v>
      </c>
      <c r="AA33" s="77">
        <v>0</v>
      </c>
      <c r="AB33" s="77">
        <v>0</v>
      </c>
      <c r="AC33" s="77">
        <v>8</v>
      </c>
      <c r="AD33" s="84">
        <v>0</v>
      </c>
      <c r="AE33" s="84">
        <v>0</v>
      </c>
      <c r="AF33" s="84">
        <v>0</v>
      </c>
      <c r="AG33" s="84">
        <v>8</v>
      </c>
      <c r="AH33" s="84">
        <v>0</v>
      </c>
      <c r="AI33" s="84">
        <v>0</v>
      </c>
      <c r="AJ33" s="84">
        <v>0</v>
      </c>
      <c r="AK33" s="32">
        <f t="shared" si="1"/>
        <v>48</v>
      </c>
      <c r="AL33" s="32">
        <f t="shared" si="1"/>
        <v>9</v>
      </c>
      <c r="AM33" s="32">
        <f t="shared" si="1"/>
        <v>0</v>
      </c>
      <c r="AN33" s="32">
        <f t="shared" si="1"/>
        <v>0</v>
      </c>
      <c r="AO33" s="31">
        <f t="shared" si="1"/>
        <v>0</v>
      </c>
      <c r="AP33" s="31">
        <f t="shared" si="1"/>
        <v>0</v>
      </c>
      <c r="AQ33" s="31">
        <f t="shared" si="1"/>
        <v>0</v>
      </c>
      <c r="AR33" s="31">
        <f t="shared" si="1"/>
        <v>0</v>
      </c>
      <c r="AS33" s="71"/>
      <c r="AT33" s="71"/>
      <c r="AU33" s="23"/>
    </row>
    <row r="34" spans="1:47" s="17" customFormat="1" ht="30" customHeight="1">
      <c r="A34" s="29"/>
      <c r="B34" s="57" t="s">
        <v>75</v>
      </c>
      <c r="C34" s="22" t="s">
        <v>194</v>
      </c>
      <c r="D34" s="86" t="s">
        <v>176</v>
      </c>
      <c r="E34" s="83" t="s">
        <v>177</v>
      </c>
      <c r="F34" s="88" t="s">
        <v>180</v>
      </c>
      <c r="G34" s="45"/>
      <c r="H34" s="30" t="s">
        <v>26</v>
      </c>
      <c r="I34" s="77">
        <v>8</v>
      </c>
      <c r="J34" s="77">
        <v>0</v>
      </c>
      <c r="K34" s="77">
        <v>0</v>
      </c>
      <c r="L34" s="77">
        <v>0</v>
      </c>
      <c r="M34" s="69">
        <v>0</v>
      </c>
      <c r="N34" s="69"/>
      <c r="O34" s="69">
        <v>0</v>
      </c>
      <c r="P34" s="69"/>
      <c r="Q34" s="77">
        <v>8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  <c r="Z34" s="77">
        <v>0</v>
      </c>
      <c r="AA34" s="77">
        <v>0</v>
      </c>
      <c r="AB34" s="77">
        <v>0</v>
      </c>
      <c r="AC34" s="77">
        <v>0</v>
      </c>
      <c r="AD34" s="84">
        <v>0</v>
      </c>
      <c r="AE34" s="84">
        <v>0</v>
      </c>
      <c r="AF34" s="84">
        <v>0</v>
      </c>
      <c r="AG34" s="84">
        <v>8</v>
      </c>
      <c r="AH34" s="84">
        <v>0</v>
      </c>
      <c r="AI34" s="84">
        <v>0</v>
      </c>
      <c r="AJ34" s="84">
        <v>0</v>
      </c>
      <c r="AK34" s="32">
        <f t="shared" si="1"/>
        <v>24</v>
      </c>
      <c r="AL34" s="32">
        <f t="shared" si="1"/>
        <v>0</v>
      </c>
      <c r="AM34" s="32">
        <f t="shared" si="1"/>
        <v>0</v>
      </c>
      <c r="AN34" s="32">
        <f t="shared" si="1"/>
        <v>0</v>
      </c>
      <c r="AO34" s="31">
        <f t="shared" si="1"/>
        <v>0</v>
      </c>
      <c r="AP34" s="31">
        <f t="shared" si="1"/>
        <v>0</v>
      </c>
      <c r="AQ34" s="31">
        <f t="shared" si="1"/>
        <v>0</v>
      </c>
      <c r="AR34" s="31">
        <f t="shared" si="1"/>
        <v>0</v>
      </c>
      <c r="AS34" s="71"/>
      <c r="AT34" s="71"/>
      <c r="AU34" s="23"/>
    </row>
    <row r="35" spans="1:47" s="17" customFormat="1" ht="30" customHeight="1">
      <c r="A35" s="29"/>
      <c r="B35" s="57" t="s">
        <v>76</v>
      </c>
      <c r="C35" s="22" t="s">
        <v>195</v>
      </c>
      <c r="D35" s="86" t="s">
        <v>178</v>
      </c>
      <c r="E35" s="83" t="s">
        <v>179</v>
      </c>
      <c r="F35" s="88" t="s">
        <v>180</v>
      </c>
      <c r="G35" s="45"/>
      <c r="H35" s="30" t="s">
        <v>26</v>
      </c>
      <c r="I35" s="77">
        <v>0</v>
      </c>
      <c r="J35" s="77">
        <v>0</v>
      </c>
      <c r="K35" s="77">
        <v>0</v>
      </c>
      <c r="L35" s="77">
        <v>0</v>
      </c>
      <c r="M35" s="69">
        <v>0</v>
      </c>
      <c r="N35" s="69"/>
      <c r="O35" s="69">
        <v>0</v>
      </c>
      <c r="P35" s="69"/>
      <c r="Q35" s="77">
        <v>8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8</v>
      </c>
      <c r="Z35" s="77">
        <v>4</v>
      </c>
      <c r="AA35" s="77">
        <v>0</v>
      </c>
      <c r="AB35" s="77">
        <v>0</v>
      </c>
      <c r="AC35" s="77">
        <v>8</v>
      </c>
      <c r="AD35" s="84">
        <v>4</v>
      </c>
      <c r="AE35" s="84">
        <v>0</v>
      </c>
      <c r="AF35" s="84">
        <v>0</v>
      </c>
      <c r="AG35" s="84">
        <v>8</v>
      </c>
      <c r="AH35" s="84">
        <v>4</v>
      </c>
      <c r="AI35" s="84">
        <v>0</v>
      </c>
      <c r="AJ35" s="84">
        <v>0</v>
      </c>
      <c r="AK35" s="32">
        <f t="shared" si="1"/>
        <v>32</v>
      </c>
      <c r="AL35" s="32">
        <f t="shared" si="1"/>
        <v>12</v>
      </c>
      <c r="AM35" s="32">
        <f t="shared" si="1"/>
        <v>0</v>
      </c>
      <c r="AN35" s="32">
        <f t="shared" si="1"/>
        <v>0</v>
      </c>
      <c r="AO35" s="31">
        <f t="shared" si="1"/>
        <v>0</v>
      </c>
      <c r="AP35" s="31">
        <f t="shared" si="1"/>
        <v>0</v>
      </c>
      <c r="AQ35" s="31">
        <f t="shared" si="1"/>
        <v>0</v>
      </c>
      <c r="AR35" s="31">
        <f t="shared" si="1"/>
        <v>0</v>
      </c>
      <c r="AS35" s="71"/>
      <c r="AT35" s="71"/>
      <c r="AU35" s="23"/>
    </row>
    <row r="36" spans="1:47" s="17" customFormat="1" ht="30" customHeight="1">
      <c r="A36" s="29"/>
      <c r="B36" s="57" t="s">
        <v>167</v>
      </c>
      <c r="C36" s="22" t="s">
        <v>236</v>
      </c>
      <c r="D36" s="25" t="s">
        <v>224</v>
      </c>
      <c r="E36" s="83" t="s">
        <v>225</v>
      </c>
      <c r="F36" s="88">
        <v>46258</v>
      </c>
      <c r="G36" s="45"/>
      <c r="H36" s="30" t="s">
        <v>26</v>
      </c>
      <c r="I36" s="77">
        <v>0</v>
      </c>
      <c r="J36" s="77">
        <v>0</v>
      </c>
      <c r="K36" s="77">
        <v>0</v>
      </c>
      <c r="L36" s="77">
        <v>0</v>
      </c>
      <c r="M36" s="69">
        <v>0</v>
      </c>
      <c r="N36" s="69"/>
      <c r="O36" s="69">
        <v>0</v>
      </c>
      <c r="P36" s="69"/>
      <c r="Q36" s="77">
        <v>8</v>
      </c>
      <c r="R36" s="77">
        <v>0</v>
      </c>
      <c r="S36" s="77">
        <v>0</v>
      </c>
      <c r="T36" s="77">
        <v>0</v>
      </c>
      <c r="U36" s="77">
        <v>8</v>
      </c>
      <c r="V36" s="77">
        <v>3</v>
      </c>
      <c r="W36" s="77">
        <v>0</v>
      </c>
      <c r="X36" s="77">
        <v>0</v>
      </c>
      <c r="Y36" s="77">
        <v>8</v>
      </c>
      <c r="Z36" s="77">
        <v>2</v>
      </c>
      <c r="AA36" s="77">
        <v>0</v>
      </c>
      <c r="AB36" s="77">
        <v>0</v>
      </c>
      <c r="AC36" s="77">
        <v>8</v>
      </c>
      <c r="AD36" s="84">
        <v>3</v>
      </c>
      <c r="AE36" s="84">
        <v>0</v>
      </c>
      <c r="AF36" s="84">
        <v>0</v>
      </c>
      <c r="AG36" s="84">
        <v>0</v>
      </c>
      <c r="AH36" s="84">
        <v>0</v>
      </c>
      <c r="AI36" s="84">
        <v>0</v>
      </c>
      <c r="AJ36" s="84">
        <v>0</v>
      </c>
      <c r="AK36" s="32">
        <f t="shared" si="1"/>
        <v>32</v>
      </c>
      <c r="AL36" s="32">
        <f t="shared" si="1"/>
        <v>8</v>
      </c>
      <c r="AM36" s="32">
        <f t="shared" si="1"/>
        <v>0</v>
      </c>
      <c r="AN36" s="32">
        <f t="shared" si="1"/>
        <v>0</v>
      </c>
      <c r="AO36" s="31">
        <f t="shared" si="1"/>
        <v>0</v>
      </c>
      <c r="AP36" s="31">
        <f t="shared" si="1"/>
        <v>0</v>
      </c>
      <c r="AQ36" s="31">
        <f t="shared" si="1"/>
        <v>0</v>
      </c>
      <c r="AR36" s="31">
        <f t="shared" si="1"/>
        <v>0</v>
      </c>
      <c r="AS36" s="71"/>
      <c r="AT36" s="71"/>
      <c r="AU36" s="23"/>
    </row>
    <row r="37" spans="1:47" s="17" customFormat="1" ht="30" customHeight="1">
      <c r="A37" s="29"/>
      <c r="B37" s="57" t="s">
        <v>77</v>
      </c>
      <c r="C37" s="22" t="s">
        <v>237</v>
      </c>
      <c r="D37" s="25" t="s">
        <v>226</v>
      </c>
      <c r="E37" s="83" t="s">
        <v>227</v>
      </c>
      <c r="F37" s="88">
        <v>46258</v>
      </c>
      <c r="G37" s="45"/>
      <c r="H37" s="30" t="s">
        <v>26</v>
      </c>
      <c r="I37" s="77">
        <v>0</v>
      </c>
      <c r="J37" s="77">
        <v>0</v>
      </c>
      <c r="K37" s="77">
        <v>0</v>
      </c>
      <c r="L37" s="77">
        <v>0</v>
      </c>
      <c r="M37" s="69">
        <v>0</v>
      </c>
      <c r="N37" s="69"/>
      <c r="O37" s="69">
        <v>0</v>
      </c>
      <c r="P37" s="69"/>
      <c r="Q37" s="77">
        <v>8</v>
      </c>
      <c r="R37" s="77">
        <v>0</v>
      </c>
      <c r="S37" s="77">
        <v>0</v>
      </c>
      <c r="T37" s="77">
        <v>0</v>
      </c>
      <c r="U37" s="77">
        <v>8</v>
      </c>
      <c r="V37" s="77">
        <v>3</v>
      </c>
      <c r="W37" s="77">
        <v>0</v>
      </c>
      <c r="X37" s="77">
        <v>0</v>
      </c>
      <c r="Y37" s="77">
        <v>8</v>
      </c>
      <c r="Z37" s="77">
        <v>2</v>
      </c>
      <c r="AA37" s="77">
        <v>0</v>
      </c>
      <c r="AB37" s="77">
        <v>0</v>
      </c>
      <c r="AC37" s="77">
        <v>8</v>
      </c>
      <c r="AD37" s="84">
        <v>3</v>
      </c>
      <c r="AE37" s="84">
        <v>0</v>
      </c>
      <c r="AF37" s="84">
        <v>0</v>
      </c>
      <c r="AG37" s="84">
        <v>8</v>
      </c>
      <c r="AH37" s="84">
        <v>0</v>
      </c>
      <c r="AI37" s="84">
        <v>0</v>
      </c>
      <c r="AJ37" s="84">
        <v>0</v>
      </c>
      <c r="AK37" s="32">
        <f t="shared" si="1"/>
        <v>40</v>
      </c>
      <c r="AL37" s="32">
        <f t="shared" si="1"/>
        <v>8</v>
      </c>
      <c r="AM37" s="32">
        <f t="shared" si="1"/>
        <v>0</v>
      </c>
      <c r="AN37" s="32">
        <f t="shared" si="1"/>
        <v>0</v>
      </c>
      <c r="AO37" s="31">
        <f t="shared" si="1"/>
        <v>0</v>
      </c>
      <c r="AP37" s="31">
        <f t="shared" si="1"/>
        <v>0</v>
      </c>
      <c r="AQ37" s="31">
        <f t="shared" si="1"/>
        <v>0</v>
      </c>
      <c r="AR37" s="31">
        <f t="shared" si="1"/>
        <v>0</v>
      </c>
      <c r="AS37" s="71"/>
      <c r="AT37" s="71"/>
      <c r="AU37" s="23"/>
    </row>
    <row r="38" spans="1:47" s="17" customFormat="1" ht="30" customHeight="1">
      <c r="A38" s="29"/>
      <c r="B38" s="57" t="s">
        <v>78</v>
      </c>
      <c r="C38" s="22" t="s">
        <v>238</v>
      </c>
      <c r="D38" s="25" t="s">
        <v>228</v>
      </c>
      <c r="E38" s="83" t="s">
        <v>229</v>
      </c>
      <c r="F38" s="88">
        <v>46258</v>
      </c>
      <c r="G38" s="45"/>
      <c r="H38" s="30" t="s">
        <v>26</v>
      </c>
      <c r="I38" s="77">
        <v>0</v>
      </c>
      <c r="J38" s="77">
        <v>0</v>
      </c>
      <c r="K38" s="77">
        <v>0</v>
      </c>
      <c r="L38" s="77">
        <v>0</v>
      </c>
      <c r="M38" s="69">
        <v>0</v>
      </c>
      <c r="N38" s="69"/>
      <c r="O38" s="69">
        <v>0</v>
      </c>
      <c r="P38" s="69"/>
      <c r="Q38" s="77">
        <v>8</v>
      </c>
      <c r="R38" s="77">
        <v>0</v>
      </c>
      <c r="S38" s="77">
        <v>0</v>
      </c>
      <c r="T38" s="77">
        <v>0</v>
      </c>
      <c r="U38" s="77">
        <v>8</v>
      </c>
      <c r="V38" s="77">
        <v>4</v>
      </c>
      <c r="W38" s="77">
        <v>0</v>
      </c>
      <c r="X38" s="77">
        <v>0</v>
      </c>
      <c r="Y38" s="77">
        <v>8</v>
      </c>
      <c r="Z38" s="77">
        <v>4</v>
      </c>
      <c r="AA38" s="77">
        <v>0</v>
      </c>
      <c r="AB38" s="77">
        <v>0</v>
      </c>
      <c r="AC38" s="77">
        <v>8</v>
      </c>
      <c r="AD38" s="84">
        <v>0</v>
      </c>
      <c r="AE38" s="84">
        <v>0</v>
      </c>
      <c r="AF38" s="84">
        <v>0</v>
      </c>
      <c r="AG38" s="84">
        <v>8</v>
      </c>
      <c r="AH38" s="84">
        <v>3</v>
      </c>
      <c r="AI38" s="84">
        <v>0</v>
      </c>
      <c r="AJ38" s="84">
        <v>0</v>
      </c>
      <c r="AK38" s="32">
        <f t="shared" si="1"/>
        <v>40</v>
      </c>
      <c r="AL38" s="32">
        <f t="shared" si="1"/>
        <v>11</v>
      </c>
      <c r="AM38" s="32">
        <f t="shared" si="1"/>
        <v>0</v>
      </c>
      <c r="AN38" s="32">
        <f t="shared" si="1"/>
        <v>0</v>
      </c>
      <c r="AO38" s="31">
        <f t="shared" si="1"/>
        <v>0</v>
      </c>
      <c r="AP38" s="31">
        <f t="shared" si="1"/>
        <v>0</v>
      </c>
      <c r="AQ38" s="31">
        <f t="shared" si="1"/>
        <v>0</v>
      </c>
      <c r="AR38" s="31">
        <f t="shared" si="1"/>
        <v>0</v>
      </c>
      <c r="AS38" s="71"/>
      <c r="AT38" s="71"/>
      <c r="AU38" s="23"/>
    </row>
    <row r="39" spans="1:47" s="17" customFormat="1" ht="30" customHeight="1">
      <c r="A39" s="29"/>
      <c r="B39" s="57" t="s">
        <v>79</v>
      </c>
      <c r="C39" s="22" t="s">
        <v>239</v>
      </c>
      <c r="D39" s="25" t="s">
        <v>230</v>
      </c>
      <c r="E39" s="83" t="s">
        <v>231</v>
      </c>
      <c r="F39" s="88">
        <v>46258</v>
      </c>
      <c r="G39" s="45"/>
      <c r="H39" s="30" t="s">
        <v>26</v>
      </c>
      <c r="I39" s="77">
        <v>0</v>
      </c>
      <c r="J39" s="77">
        <v>0</v>
      </c>
      <c r="K39" s="77">
        <v>0</v>
      </c>
      <c r="L39" s="77">
        <v>0</v>
      </c>
      <c r="M39" s="69">
        <v>0</v>
      </c>
      <c r="N39" s="69"/>
      <c r="O39" s="69">
        <v>0</v>
      </c>
      <c r="P39" s="69"/>
      <c r="Q39" s="77">
        <v>8</v>
      </c>
      <c r="R39" s="77">
        <v>0</v>
      </c>
      <c r="S39" s="77">
        <v>0</v>
      </c>
      <c r="T39" s="77">
        <v>0</v>
      </c>
      <c r="U39" s="77">
        <v>8</v>
      </c>
      <c r="V39" s="77">
        <v>4</v>
      </c>
      <c r="W39" s="77">
        <v>0</v>
      </c>
      <c r="X39" s="77">
        <v>0</v>
      </c>
      <c r="Y39" s="77">
        <v>8</v>
      </c>
      <c r="Z39" s="77">
        <v>4</v>
      </c>
      <c r="AA39" s="77">
        <v>0</v>
      </c>
      <c r="AB39" s="77">
        <v>0</v>
      </c>
      <c r="AC39" s="77">
        <v>8</v>
      </c>
      <c r="AD39" s="84">
        <v>4</v>
      </c>
      <c r="AE39" s="84">
        <v>0</v>
      </c>
      <c r="AF39" s="84">
        <v>0</v>
      </c>
      <c r="AG39" s="84">
        <v>8</v>
      </c>
      <c r="AH39" s="84">
        <v>4</v>
      </c>
      <c r="AI39" s="84">
        <v>0</v>
      </c>
      <c r="AJ39" s="84">
        <v>0</v>
      </c>
      <c r="AK39" s="32">
        <f t="shared" si="1"/>
        <v>40</v>
      </c>
      <c r="AL39" s="32">
        <f t="shared" si="1"/>
        <v>16</v>
      </c>
      <c r="AM39" s="32">
        <f t="shared" si="1"/>
        <v>0</v>
      </c>
      <c r="AN39" s="32">
        <f t="shared" si="1"/>
        <v>0</v>
      </c>
      <c r="AO39" s="31">
        <f t="shared" si="1"/>
        <v>0</v>
      </c>
      <c r="AP39" s="31">
        <f t="shared" si="1"/>
        <v>0</v>
      </c>
      <c r="AQ39" s="31">
        <f t="shared" si="1"/>
        <v>0</v>
      </c>
      <c r="AR39" s="31">
        <f t="shared" si="1"/>
        <v>0</v>
      </c>
      <c r="AS39" s="71"/>
      <c r="AT39" s="71"/>
      <c r="AU39" s="23"/>
    </row>
    <row r="40" spans="1:47" s="17" customFormat="1" ht="30" customHeight="1">
      <c r="A40" s="29"/>
      <c r="B40" s="57" t="s">
        <v>80</v>
      </c>
      <c r="C40" s="22" t="s">
        <v>240</v>
      </c>
      <c r="D40" s="25" t="s">
        <v>232</v>
      </c>
      <c r="E40" s="83" t="s">
        <v>233</v>
      </c>
      <c r="F40" s="88">
        <v>46258</v>
      </c>
      <c r="G40" s="45"/>
      <c r="H40" s="30" t="s">
        <v>26</v>
      </c>
      <c r="I40" s="77">
        <v>0</v>
      </c>
      <c r="J40" s="77">
        <v>0</v>
      </c>
      <c r="K40" s="77">
        <v>0</v>
      </c>
      <c r="L40" s="77">
        <v>0</v>
      </c>
      <c r="M40" s="69">
        <v>0</v>
      </c>
      <c r="N40" s="69"/>
      <c r="O40" s="69">
        <v>0</v>
      </c>
      <c r="P40" s="69"/>
      <c r="Q40" s="77">
        <v>8</v>
      </c>
      <c r="R40" s="77">
        <v>0</v>
      </c>
      <c r="S40" s="77">
        <v>0</v>
      </c>
      <c r="T40" s="77">
        <v>0</v>
      </c>
      <c r="U40" s="77">
        <v>8</v>
      </c>
      <c r="V40" s="77">
        <v>3</v>
      </c>
      <c r="W40" s="77">
        <v>0</v>
      </c>
      <c r="X40" s="77">
        <v>0</v>
      </c>
      <c r="Y40" s="77">
        <v>8</v>
      </c>
      <c r="Z40" s="77">
        <v>3</v>
      </c>
      <c r="AA40" s="77">
        <v>0</v>
      </c>
      <c r="AB40" s="77">
        <v>0</v>
      </c>
      <c r="AC40" s="77">
        <v>8</v>
      </c>
      <c r="AD40" s="84">
        <v>3</v>
      </c>
      <c r="AE40" s="84">
        <v>0</v>
      </c>
      <c r="AF40" s="84">
        <v>0</v>
      </c>
      <c r="AG40" s="84">
        <v>8</v>
      </c>
      <c r="AH40" s="84">
        <v>3</v>
      </c>
      <c r="AI40" s="84">
        <v>0</v>
      </c>
      <c r="AJ40" s="84">
        <v>0</v>
      </c>
      <c r="AK40" s="32">
        <f t="shared" si="1"/>
        <v>40</v>
      </c>
      <c r="AL40" s="32">
        <f t="shared" si="1"/>
        <v>12</v>
      </c>
      <c r="AM40" s="32">
        <f t="shared" si="1"/>
        <v>0</v>
      </c>
      <c r="AN40" s="32">
        <f t="shared" si="1"/>
        <v>0</v>
      </c>
      <c r="AO40" s="31">
        <f t="shared" si="1"/>
        <v>0</v>
      </c>
      <c r="AP40" s="31">
        <f t="shared" si="1"/>
        <v>0</v>
      </c>
      <c r="AQ40" s="31">
        <f t="shared" si="1"/>
        <v>0</v>
      </c>
      <c r="AR40" s="31">
        <f t="shared" si="1"/>
        <v>0</v>
      </c>
      <c r="AS40" s="71"/>
      <c r="AT40" s="71"/>
      <c r="AU40" s="23"/>
    </row>
    <row r="41" spans="1:47" s="17" customFormat="1" ht="30" customHeight="1">
      <c r="A41" s="29"/>
      <c r="B41" s="57" t="s">
        <v>81</v>
      </c>
      <c r="C41" s="22" t="s">
        <v>241</v>
      </c>
      <c r="D41" s="25" t="s">
        <v>234</v>
      </c>
      <c r="E41" s="83" t="s">
        <v>235</v>
      </c>
      <c r="F41" s="88">
        <v>46258</v>
      </c>
      <c r="G41" s="45"/>
      <c r="H41" s="30" t="s">
        <v>26</v>
      </c>
      <c r="I41" s="77">
        <v>0</v>
      </c>
      <c r="J41" s="77">
        <v>0</v>
      </c>
      <c r="K41" s="77">
        <v>0</v>
      </c>
      <c r="L41" s="77">
        <v>0</v>
      </c>
      <c r="M41" s="69">
        <v>0</v>
      </c>
      <c r="N41" s="69"/>
      <c r="O41" s="69">
        <v>0</v>
      </c>
      <c r="P41" s="69"/>
      <c r="Q41" s="77">
        <v>8</v>
      </c>
      <c r="R41" s="77">
        <v>4</v>
      </c>
      <c r="S41" s="77">
        <v>0</v>
      </c>
      <c r="T41" s="77">
        <v>0</v>
      </c>
      <c r="U41" s="77">
        <v>8</v>
      </c>
      <c r="V41" s="77">
        <v>4</v>
      </c>
      <c r="W41" s="77">
        <v>0</v>
      </c>
      <c r="X41" s="77">
        <v>0</v>
      </c>
      <c r="Y41" s="77">
        <v>8</v>
      </c>
      <c r="Z41" s="77">
        <v>4</v>
      </c>
      <c r="AA41" s="77">
        <v>0</v>
      </c>
      <c r="AB41" s="77">
        <v>0</v>
      </c>
      <c r="AC41" s="77">
        <v>8</v>
      </c>
      <c r="AD41" s="84">
        <v>4</v>
      </c>
      <c r="AE41" s="84">
        <v>0</v>
      </c>
      <c r="AF41" s="84">
        <v>0</v>
      </c>
      <c r="AG41" s="84">
        <v>8</v>
      </c>
      <c r="AH41" s="84">
        <v>4</v>
      </c>
      <c r="AI41" s="84">
        <v>0</v>
      </c>
      <c r="AJ41" s="84">
        <v>0</v>
      </c>
      <c r="AK41" s="32">
        <f t="shared" si="1"/>
        <v>40</v>
      </c>
      <c r="AL41" s="32">
        <f t="shared" si="1"/>
        <v>20</v>
      </c>
      <c r="AM41" s="32">
        <f t="shared" si="1"/>
        <v>0</v>
      </c>
      <c r="AN41" s="32">
        <f t="shared" si="1"/>
        <v>0</v>
      </c>
      <c r="AO41" s="31">
        <f t="shared" si="1"/>
        <v>0</v>
      </c>
      <c r="AP41" s="31">
        <f t="shared" si="1"/>
        <v>0</v>
      </c>
      <c r="AQ41" s="31">
        <f t="shared" si="1"/>
        <v>0</v>
      </c>
      <c r="AR41" s="31">
        <f t="shared" si="1"/>
        <v>0</v>
      </c>
      <c r="AS41" s="71"/>
      <c r="AT41" s="71"/>
      <c r="AU41" s="23"/>
    </row>
    <row r="42" spans="1:47" s="17" customFormat="1" ht="30" customHeight="1">
      <c r="A42" s="29"/>
      <c r="B42" s="57" t="s">
        <v>82</v>
      </c>
      <c r="C42" s="22" t="s">
        <v>242</v>
      </c>
      <c r="D42" s="25" t="s">
        <v>203</v>
      </c>
      <c r="E42" s="83" t="s">
        <v>143</v>
      </c>
      <c r="F42" s="88">
        <v>46259</v>
      </c>
      <c r="G42" s="45"/>
      <c r="H42" s="30" t="s">
        <v>26</v>
      </c>
      <c r="I42" s="77">
        <v>0</v>
      </c>
      <c r="J42" s="77">
        <v>0</v>
      </c>
      <c r="K42" s="77">
        <v>0</v>
      </c>
      <c r="L42" s="77">
        <v>0</v>
      </c>
      <c r="M42" s="69">
        <v>0</v>
      </c>
      <c r="N42" s="69"/>
      <c r="O42" s="69">
        <v>0</v>
      </c>
      <c r="P42" s="69"/>
      <c r="Q42" s="77">
        <v>0</v>
      </c>
      <c r="R42" s="77">
        <v>0</v>
      </c>
      <c r="S42" s="77">
        <v>0</v>
      </c>
      <c r="T42" s="77">
        <v>0</v>
      </c>
      <c r="U42" s="77">
        <v>8</v>
      </c>
      <c r="V42" s="77">
        <v>0</v>
      </c>
      <c r="W42" s="77">
        <v>0</v>
      </c>
      <c r="X42" s="77">
        <v>0</v>
      </c>
      <c r="Y42" s="77">
        <v>8</v>
      </c>
      <c r="Z42" s="77">
        <v>3</v>
      </c>
      <c r="AA42" s="77">
        <v>0</v>
      </c>
      <c r="AB42" s="77">
        <v>0</v>
      </c>
      <c r="AC42" s="77">
        <v>8</v>
      </c>
      <c r="AD42" s="84">
        <v>4</v>
      </c>
      <c r="AE42" s="84">
        <v>0</v>
      </c>
      <c r="AF42" s="84">
        <v>0</v>
      </c>
      <c r="AG42" s="84">
        <v>8</v>
      </c>
      <c r="AH42" s="84">
        <v>3</v>
      </c>
      <c r="AI42" s="84">
        <v>0</v>
      </c>
      <c r="AJ42" s="84">
        <v>0</v>
      </c>
      <c r="AK42" s="32">
        <f t="shared" si="1"/>
        <v>32</v>
      </c>
      <c r="AL42" s="32">
        <f t="shared" si="1"/>
        <v>10</v>
      </c>
      <c r="AM42" s="32">
        <f t="shared" si="1"/>
        <v>0</v>
      </c>
      <c r="AN42" s="32">
        <f t="shared" si="1"/>
        <v>0</v>
      </c>
      <c r="AO42" s="31">
        <f t="shared" si="1"/>
        <v>0</v>
      </c>
      <c r="AP42" s="31">
        <f t="shared" si="1"/>
        <v>0</v>
      </c>
      <c r="AQ42" s="31">
        <f t="shared" si="1"/>
        <v>0</v>
      </c>
      <c r="AR42" s="31">
        <f t="shared" si="1"/>
        <v>0</v>
      </c>
      <c r="AS42" s="71"/>
      <c r="AT42" s="71"/>
      <c r="AU42" s="23"/>
    </row>
    <row r="43" spans="1:47" s="17" customFormat="1" ht="30" customHeight="1">
      <c r="A43" s="29"/>
      <c r="B43" s="57" t="s">
        <v>168</v>
      </c>
      <c r="C43" s="22" t="s">
        <v>243</v>
      </c>
      <c r="D43" s="25" t="s">
        <v>204</v>
      </c>
      <c r="E43" s="83" t="s">
        <v>205</v>
      </c>
      <c r="F43" s="88">
        <v>46259</v>
      </c>
      <c r="G43" s="45"/>
      <c r="H43" s="30" t="s">
        <v>26</v>
      </c>
      <c r="I43" s="77">
        <v>0</v>
      </c>
      <c r="J43" s="77">
        <v>0</v>
      </c>
      <c r="K43" s="77">
        <v>0</v>
      </c>
      <c r="L43" s="77">
        <v>0</v>
      </c>
      <c r="M43" s="69">
        <v>0</v>
      </c>
      <c r="N43" s="69"/>
      <c r="O43" s="69">
        <v>0</v>
      </c>
      <c r="P43" s="69"/>
      <c r="Q43" s="77">
        <v>0</v>
      </c>
      <c r="R43" s="77">
        <v>0</v>
      </c>
      <c r="S43" s="77">
        <v>0</v>
      </c>
      <c r="T43" s="77">
        <v>0</v>
      </c>
      <c r="U43" s="77">
        <v>8</v>
      </c>
      <c r="V43" s="77">
        <v>0</v>
      </c>
      <c r="W43" s="77">
        <v>0</v>
      </c>
      <c r="X43" s="77">
        <v>0</v>
      </c>
      <c r="Y43" s="77">
        <v>8</v>
      </c>
      <c r="Z43" s="77">
        <v>3</v>
      </c>
      <c r="AA43" s="77">
        <v>0</v>
      </c>
      <c r="AB43" s="77">
        <v>0</v>
      </c>
      <c r="AC43" s="77">
        <v>8</v>
      </c>
      <c r="AD43" s="84">
        <v>3</v>
      </c>
      <c r="AE43" s="84">
        <v>0</v>
      </c>
      <c r="AF43" s="84">
        <v>0</v>
      </c>
      <c r="AG43" s="84">
        <v>8</v>
      </c>
      <c r="AH43" s="84">
        <v>3</v>
      </c>
      <c r="AI43" s="84">
        <v>0</v>
      </c>
      <c r="AJ43" s="84">
        <v>0</v>
      </c>
      <c r="AK43" s="32">
        <f t="shared" ref="AK43:AR66" si="2">SUMIF($I$10:$AJ$10,AK$10,$I43:$AJ43)</f>
        <v>32</v>
      </c>
      <c r="AL43" s="32">
        <f t="shared" si="2"/>
        <v>9</v>
      </c>
      <c r="AM43" s="32">
        <f t="shared" si="2"/>
        <v>0</v>
      </c>
      <c r="AN43" s="32">
        <f t="shared" si="2"/>
        <v>0</v>
      </c>
      <c r="AO43" s="31">
        <f t="shared" si="2"/>
        <v>0</v>
      </c>
      <c r="AP43" s="31">
        <f t="shared" si="2"/>
        <v>0</v>
      </c>
      <c r="AQ43" s="31">
        <f t="shared" si="2"/>
        <v>0</v>
      </c>
      <c r="AR43" s="31">
        <f t="shared" si="2"/>
        <v>0</v>
      </c>
      <c r="AS43" s="71"/>
      <c r="AT43" s="71"/>
      <c r="AU43" s="23"/>
    </row>
    <row r="44" spans="1:47" s="17" customFormat="1" ht="30" customHeight="1">
      <c r="A44" s="29"/>
      <c r="B44" s="57" t="s">
        <v>83</v>
      </c>
      <c r="C44" s="22" t="s">
        <v>244</v>
      </c>
      <c r="D44" s="25" t="s">
        <v>206</v>
      </c>
      <c r="E44" s="83" t="s">
        <v>207</v>
      </c>
      <c r="F44" s="88">
        <v>46259</v>
      </c>
      <c r="G44" s="45"/>
      <c r="H44" s="30" t="s">
        <v>26</v>
      </c>
      <c r="I44" s="77">
        <v>0</v>
      </c>
      <c r="J44" s="77">
        <v>0</v>
      </c>
      <c r="K44" s="77">
        <v>0</v>
      </c>
      <c r="L44" s="77">
        <v>0</v>
      </c>
      <c r="M44" s="69">
        <v>0</v>
      </c>
      <c r="N44" s="69"/>
      <c r="O44" s="69">
        <v>0</v>
      </c>
      <c r="P44" s="69"/>
      <c r="Q44" s="77">
        <v>0</v>
      </c>
      <c r="R44" s="77">
        <v>0</v>
      </c>
      <c r="S44" s="77">
        <v>0</v>
      </c>
      <c r="T44" s="77">
        <v>0</v>
      </c>
      <c r="U44" s="77">
        <v>8</v>
      </c>
      <c r="V44" s="77">
        <v>0</v>
      </c>
      <c r="W44" s="77">
        <v>0</v>
      </c>
      <c r="X44" s="77">
        <v>0</v>
      </c>
      <c r="Y44" s="77">
        <v>8</v>
      </c>
      <c r="Z44" s="77">
        <v>3</v>
      </c>
      <c r="AA44" s="77">
        <v>0</v>
      </c>
      <c r="AB44" s="77">
        <v>0</v>
      </c>
      <c r="AC44" s="77">
        <v>8</v>
      </c>
      <c r="AD44" s="84">
        <v>3</v>
      </c>
      <c r="AE44" s="84">
        <v>0</v>
      </c>
      <c r="AF44" s="84">
        <v>0</v>
      </c>
      <c r="AG44" s="84">
        <v>8</v>
      </c>
      <c r="AH44" s="84">
        <v>3</v>
      </c>
      <c r="AI44" s="84">
        <v>0</v>
      </c>
      <c r="AJ44" s="84">
        <v>0</v>
      </c>
      <c r="AK44" s="32">
        <f t="shared" si="2"/>
        <v>32</v>
      </c>
      <c r="AL44" s="32">
        <f t="shared" si="2"/>
        <v>9</v>
      </c>
      <c r="AM44" s="32">
        <f t="shared" si="2"/>
        <v>0</v>
      </c>
      <c r="AN44" s="32">
        <f t="shared" si="2"/>
        <v>0</v>
      </c>
      <c r="AO44" s="31">
        <f t="shared" si="2"/>
        <v>0</v>
      </c>
      <c r="AP44" s="31">
        <f t="shared" si="2"/>
        <v>0</v>
      </c>
      <c r="AQ44" s="31">
        <f t="shared" si="2"/>
        <v>0</v>
      </c>
      <c r="AR44" s="31">
        <f t="shared" si="2"/>
        <v>0</v>
      </c>
      <c r="AS44" s="71"/>
      <c r="AT44" s="71"/>
      <c r="AU44" s="23"/>
    </row>
    <row r="45" spans="1:47" s="17" customFormat="1" ht="30" customHeight="1">
      <c r="A45" s="29"/>
      <c r="B45" s="57" t="s">
        <v>84</v>
      </c>
      <c r="C45" s="22" t="s">
        <v>245</v>
      </c>
      <c r="D45" s="25" t="s">
        <v>208</v>
      </c>
      <c r="E45" s="83" t="s">
        <v>209</v>
      </c>
      <c r="F45" s="88">
        <v>46259</v>
      </c>
      <c r="G45" s="45"/>
      <c r="H45" s="30" t="s">
        <v>26</v>
      </c>
      <c r="I45" s="77">
        <v>0</v>
      </c>
      <c r="J45" s="77">
        <v>0</v>
      </c>
      <c r="K45" s="77">
        <v>0</v>
      </c>
      <c r="L45" s="77">
        <v>0</v>
      </c>
      <c r="M45" s="69">
        <v>0</v>
      </c>
      <c r="N45" s="69"/>
      <c r="O45" s="69">
        <v>0</v>
      </c>
      <c r="P45" s="69"/>
      <c r="Q45" s="77">
        <v>0</v>
      </c>
      <c r="R45" s="77">
        <v>0</v>
      </c>
      <c r="S45" s="77">
        <v>0</v>
      </c>
      <c r="T45" s="77">
        <v>0</v>
      </c>
      <c r="U45" s="77">
        <v>8</v>
      </c>
      <c r="V45" s="77">
        <v>0</v>
      </c>
      <c r="W45" s="77">
        <v>0</v>
      </c>
      <c r="X45" s="77">
        <v>0</v>
      </c>
      <c r="Y45" s="77">
        <v>8</v>
      </c>
      <c r="Z45" s="77">
        <v>0</v>
      </c>
      <c r="AA45" s="77">
        <v>0</v>
      </c>
      <c r="AB45" s="77">
        <v>0</v>
      </c>
      <c r="AC45" s="77">
        <v>8</v>
      </c>
      <c r="AD45" s="84">
        <v>0</v>
      </c>
      <c r="AE45" s="84">
        <v>0</v>
      </c>
      <c r="AF45" s="84">
        <v>0</v>
      </c>
      <c r="AG45" s="84">
        <v>8</v>
      </c>
      <c r="AH45" s="84">
        <v>3</v>
      </c>
      <c r="AI45" s="84">
        <v>0</v>
      </c>
      <c r="AJ45" s="84">
        <v>0</v>
      </c>
      <c r="AK45" s="32">
        <f t="shared" si="2"/>
        <v>32</v>
      </c>
      <c r="AL45" s="32">
        <f t="shared" si="2"/>
        <v>3</v>
      </c>
      <c r="AM45" s="32">
        <f t="shared" si="2"/>
        <v>0</v>
      </c>
      <c r="AN45" s="32">
        <f t="shared" si="2"/>
        <v>0</v>
      </c>
      <c r="AO45" s="31">
        <f t="shared" si="2"/>
        <v>0</v>
      </c>
      <c r="AP45" s="31">
        <f t="shared" si="2"/>
        <v>0</v>
      </c>
      <c r="AQ45" s="31">
        <f t="shared" si="2"/>
        <v>0</v>
      </c>
      <c r="AR45" s="31">
        <f t="shared" si="2"/>
        <v>0</v>
      </c>
      <c r="AS45" s="71"/>
      <c r="AT45" s="71"/>
      <c r="AU45" s="23"/>
    </row>
    <row r="46" spans="1:47" s="17" customFormat="1" ht="30" customHeight="1">
      <c r="A46" s="29"/>
      <c r="B46" s="57" t="s">
        <v>85</v>
      </c>
      <c r="C46" s="22" t="s">
        <v>246</v>
      </c>
      <c r="D46" s="25" t="s">
        <v>210</v>
      </c>
      <c r="E46" s="83" t="s">
        <v>211</v>
      </c>
      <c r="F46" s="88">
        <v>46260</v>
      </c>
      <c r="G46" s="45"/>
      <c r="H46" s="30" t="s">
        <v>26</v>
      </c>
      <c r="I46" s="77">
        <v>0</v>
      </c>
      <c r="J46" s="77">
        <v>0</v>
      </c>
      <c r="K46" s="77">
        <v>0</v>
      </c>
      <c r="L46" s="77">
        <v>0</v>
      </c>
      <c r="M46" s="69">
        <v>0</v>
      </c>
      <c r="N46" s="69"/>
      <c r="O46" s="69">
        <v>0</v>
      </c>
      <c r="P46" s="69"/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8</v>
      </c>
      <c r="Z46" s="77">
        <v>0</v>
      </c>
      <c r="AA46" s="77">
        <v>0</v>
      </c>
      <c r="AB46" s="77">
        <v>0</v>
      </c>
      <c r="AC46" s="77">
        <v>8</v>
      </c>
      <c r="AD46" s="84">
        <v>0</v>
      </c>
      <c r="AE46" s="84">
        <v>0</v>
      </c>
      <c r="AF46" s="84">
        <v>0</v>
      </c>
      <c r="AG46" s="84">
        <v>8</v>
      </c>
      <c r="AH46" s="84">
        <v>3</v>
      </c>
      <c r="AI46" s="84">
        <v>0</v>
      </c>
      <c r="AJ46" s="84">
        <v>0</v>
      </c>
      <c r="AK46" s="32">
        <f t="shared" si="2"/>
        <v>24</v>
      </c>
      <c r="AL46" s="32">
        <f t="shared" si="2"/>
        <v>3</v>
      </c>
      <c r="AM46" s="32">
        <f t="shared" si="2"/>
        <v>0</v>
      </c>
      <c r="AN46" s="32">
        <f t="shared" si="2"/>
        <v>0</v>
      </c>
      <c r="AO46" s="31">
        <f t="shared" si="2"/>
        <v>0</v>
      </c>
      <c r="AP46" s="31">
        <f t="shared" si="2"/>
        <v>0</v>
      </c>
      <c r="AQ46" s="31">
        <f t="shared" si="2"/>
        <v>0</v>
      </c>
      <c r="AR46" s="31">
        <f t="shared" si="2"/>
        <v>0</v>
      </c>
      <c r="AS46" s="71"/>
      <c r="AT46" s="71"/>
      <c r="AU46" s="23"/>
    </row>
    <row r="47" spans="1:47" s="17" customFormat="1" ht="30" customHeight="1">
      <c r="A47" s="29"/>
      <c r="B47" s="57" t="s">
        <v>94</v>
      </c>
      <c r="C47" s="22" t="s">
        <v>247</v>
      </c>
      <c r="D47" s="25" t="s">
        <v>212</v>
      </c>
      <c r="E47" s="83" t="s">
        <v>213</v>
      </c>
      <c r="F47" s="88">
        <v>46260</v>
      </c>
      <c r="G47" s="45"/>
      <c r="H47" s="30" t="s">
        <v>26</v>
      </c>
      <c r="I47" s="77">
        <v>0</v>
      </c>
      <c r="J47" s="77">
        <v>0</v>
      </c>
      <c r="K47" s="77">
        <v>0</v>
      </c>
      <c r="L47" s="77">
        <v>0</v>
      </c>
      <c r="M47" s="69">
        <v>0</v>
      </c>
      <c r="N47" s="69"/>
      <c r="O47" s="69">
        <v>0</v>
      </c>
      <c r="P47" s="69"/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8</v>
      </c>
      <c r="Z47" s="77">
        <v>0</v>
      </c>
      <c r="AA47" s="77">
        <v>0</v>
      </c>
      <c r="AB47" s="77">
        <v>0</v>
      </c>
      <c r="AC47" s="77">
        <v>8</v>
      </c>
      <c r="AD47" s="84">
        <v>0</v>
      </c>
      <c r="AE47" s="84">
        <v>0</v>
      </c>
      <c r="AF47" s="84">
        <v>0</v>
      </c>
      <c r="AG47" s="84">
        <v>8</v>
      </c>
      <c r="AH47" s="84">
        <v>3</v>
      </c>
      <c r="AI47" s="84">
        <v>0</v>
      </c>
      <c r="AJ47" s="84">
        <v>0</v>
      </c>
      <c r="AK47" s="32">
        <f t="shared" si="2"/>
        <v>24</v>
      </c>
      <c r="AL47" s="32">
        <f t="shared" si="2"/>
        <v>3</v>
      </c>
      <c r="AM47" s="32">
        <f t="shared" si="2"/>
        <v>0</v>
      </c>
      <c r="AN47" s="32">
        <f t="shared" si="2"/>
        <v>0</v>
      </c>
      <c r="AO47" s="31">
        <f t="shared" si="2"/>
        <v>0</v>
      </c>
      <c r="AP47" s="31">
        <f t="shared" si="2"/>
        <v>0</v>
      </c>
      <c r="AQ47" s="31">
        <f t="shared" si="2"/>
        <v>0</v>
      </c>
      <c r="AR47" s="31">
        <f t="shared" si="2"/>
        <v>0</v>
      </c>
      <c r="AS47" s="71"/>
      <c r="AT47" s="71"/>
      <c r="AU47" s="23"/>
    </row>
    <row r="48" spans="1:47" s="17" customFormat="1" ht="30" customHeight="1">
      <c r="A48" s="127"/>
      <c r="B48" s="57" t="s">
        <v>86</v>
      </c>
      <c r="C48" s="22" t="s">
        <v>248</v>
      </c>
      <c r="D48" s="25" t="s">
        <v>214</v>
      </c>
      <c r="E48" s="35" t="s">
        <v>215</v>
      </c>
      <c r="F48" s="128">
        <v>46260</v>
      </c>
      <c r="G48" s="129"/>
      <c r="H48" s="30" t="s">
        <v>26</v>
      </c>
      <c r="I48" s="84">
        <v>0</v>
      </c>
      <c r="J48" s="84">
        <v>0</v>
      </c>
      <c r="K48" s="84">
        <v>0</v>
      </c>
      <c r="L48" s="84">
        <v>0</v>
      </c>
      <c r="M48" s="69">
        <v>0</v>
      </c>
      <c r="N48" s="69"/>
      <c r="O48" s="69">
        <v>0</v>
      </c>
      <c r="P48" s="69"/>
      <c r="Q48" s="84">
        <v>0</v>
      </c>
      <c r="R48" s="84">
        <v>0</v>
      </c>
      <c r="S48" s="84">
        <v>0</v>
      </c>
      <c r="T48" s="84">
        <v>0</v>
      </c>
      <c r="U48" s="84">
        <v>0</v>
      </c>
      <c r="V48" s="84">
        <v>0</v>
      </c>
      <c r="W48" s="84">
        <v>0</v>
      </c>
      <c r="X48" s="84">
        <v>0</v>
      </c>
      <c r="Y48" s="84">
        <v>8</v>
      </c>
      <c r="Z48" s="84">
        <v>0</v>
      </c>
      <c r="AA48" s="84">
        <v>0</v>
      </c>
      <c r="AB48" s="84">
        <v>0</v>
      </c>
      <c r="AC48" s="84">
        <v>8</v>
      </c>
      <c r="AD48" s="84">
        <v>3</v>
      </c>
      <c r="AE48" s="84">
        <v>0</v>
      </c>
      <c r="AF48" s="84">
        <v>0</v>
      </c>
      <c r="AG48" s="84">
        <v>0</v>
      </c>
      <c r="AH48" s="84">
        <v>0</v>
      </c>
      <c r="AI48" s="84">
        <v>0</v>
      </c>
      <c r="AJ48" s="84">
        <v>0</v>
      </c>
      <c r="AK48" s="32">
        <f t="shared" si="2"/>
        <v>16</v>
      </c>
      <c r="AL48" s="32">
        <f t="shared" si="2"/>
        <v>3</v>
      </c>
      <c r="AM48" s="32">
        <f t="shared" si="2"/>
        <v>0</v>
      </c>
      <c r="AN48" s="32">
        <f t="shared" si="2"/>
        <v>0</v>
      </c>
      <c r="AO48" s="32">
        <f t="shared" si="2"/>
        <v>0</v>
      </c>
      <c r="AP48" s="32">
        <f t="shared" si="2"/>
        <v>0</v>
      </c>
      <c r="AQ48" s="32">
        <f t="shared" si="2"/>
        <v>0</v>
      </c>
      <c r="AR48" s="32">
        <f t="shared" si="2"/>
        <v>0</v>
      </c>
      <c r="AS48" s="71"/>
      <c r="AT48" s="71"/>
      <c r="AU48" s="23"/>
    </row>
    <row r="49" spans="1:47" s="17" customFormat="1" ht="30" customHeight="1">
      <c r="A49" s="29"/>
      <c r="B49" s="57" t="s">
        <v>87</v>
      </c>
      <c r="C49" s="22" t="s">
        <v>249</v>
      </c>
      <c r="D49" s="25" t="s">
        <v>216</v>
      </c>
      <c r="E49" s="83" t="s">
        <v>217</v>
      </c>
      <c r="F49" s="88">
        <v>46260</v>
      </c>
      <c r="G49" s="45"/>
      <c r="H49" s="30" t="s">
        <v>26</v>
      </c>
      <c r="I49" s="77">
        <v>0</v>
      </c>
      <c r="J49" s="77">
        <v>0</v>
      </c>
      <c r="K49" s="77">
        <v>0</v>
      </c>
      <c r="L49" s="77">
        <v>0</v>
      </c>
      <c r="M49" s="69">
        <v>0</v>
      </c>
      <c r="N49" s="69"/>
      <c r="O49" s="69">
        <v>0</v>
      </c>
      <c r="P49" s="69"/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8</v>
      </c>
      <c r="Z49" s="77">
        <v>0</v>
      </c>
      <c r="AA49" s="77">
        <v>0</v>
      </c>
      <c r="AB49" s="77">
        <v>0</v>
      </c>
      <c r="AC49" s="77">
        <v>8</v>
      </c>
      <c r="AD49" s="84">
        <v>0</v>
      </c>
      <c r="AE49" s="84">
        <v>0</v>
      </c>
      <c r="AF49" s="84">
        <v>0</v>
      </c>
      <c r="AG49" s="84">
        <v>8</v>
      </c>
      <c r="AH49" s="84">
        <v>3</v>
      </c>
      <c r="AI49" s="84">
        <v>0</v>
      </c>
      <c r="AJ49" s="84">
        <v>0</v>
      </c>
      <c r="AK49" s="32">
        <f t="shared" si="2"/>
        <v>24</v>
      </c>
      <c r="AL49" s="32">
        <f t="shared" si="2"/>
        <v>3</v>
      </c>
      <c r="AM49" s="32">
        <f t="shared" si="2"/>
        <v>0</v>
      </c>
      <c r="AN49" s="32">
        <f t="shared" si="2"/>
        <v>0</v>
      </c>
      <c r="AO49" s="31">
        <f t="shared" si="2"/>
        <v>0</v>
      </c>
      <c r="AP49" s="31">
        <f t="shared" si="2"/>
        <v>0</v>
      </c>
      <c r="AQ49" s="31">
        <f t="shared" si="2"/>
        <v>0</v>
      </c>
      <c r="AR49" s="31">
        <f t="shared" si="2"/>
        <v>0</v>
      </c>
      <c r="AS49" s="71"/>
      <c r="AT49" s="71"/>
      <c r="AU49" s="23"/>
    </row>
    <row r="50" spans="1:47" s="17" customFormat="1" ht="30" customHeight="1">
      <c r="A50" s="29"/>
      <c r="B50" s="57" t="s">
        <v>88</v>
      </c>
      <c r="C50" s="22" t="s">
        <v>250</v>
      </c>
      <c r="D50" s="25" t="s">
        <v>218</v>
      </c>
      <c r="E50" s="83" t="s">
        <v>219</v>
      </c>
      <c r="F50" s="88">
        <v>46260</v>
      </c>
      <c r="G50" s="45"/>
      <c r="H50" s="30" t="s">
        <v>26</v>
      </c>
      <c r="I50" s="77">
        <v>0</v>
      </c>
      <c r="J50" s="77">
        <v>0</v>
      </c>
      <c r="K50" s="77">
        <v>0</v>
      </c>
      <c r="L50" s="77">
        <v>0</v>
      </c>
      <c r="M50" s="69">
        <v>0</v>
      </c>
      <c r="N50" s="69"/>
      <c r="O50" s="69">
        <v>0</v>
      </c>
      <c r="P50" s="69"/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8</v>
      </c>
      <c r="Z50" s="77">
        <v>0</v>
      </c>
      <c r="AA50" s="77">
        <v>0</v>
      </c>
      <c r="AB50" s="77">
        <v>0</v>
      </c>
      <c r="AC50" s="77">
        <v>8</v>
      </c>
      <c r="AD50" s="84">
        <v>0</v>
      </c>
      <c r="AE50" s="84">
        <v>0</v>
      </c>
      <c r="AF50" s="84">
        <v>0</v>
      </c>
      <c r="AG50" s="84">
        <v>8</v>
      </c>
      <c r="AH50" s="84">
        <v>3</v>
      </c>
      <c r="AI50" s="84">
        <v>0</v>
      </c>
      <c r="AJ50" s="84">
        <v>0</v>
      </c>
      <c r="AK50" s="32">
        <f t="shared" si="2"/>
        <v>24</v>
      </c>
      <c r="AL50" s="32">
        <f t="shared" si="2"/>
        <v>3</v>
      </c>
      <c r="AM50" s="32">
        <f t="shared" si="2"/>
        <v>0</v>
      </c>
      <c r="AN50" s="32">
        <f t="shared" si="2"/>
        <v>0</v>
      </c>
      <c r="AO50" s="31">
        <f t="shared" si="2"/>
        <v>0</v>
      </c>
      <c r="AP50" s="31">
        <f t="shared" si="2"/>
        <v>0</v>
      </c>
      <c r="AQ50" s="31">
        <f t="shared" si="2"/>
        <v>0</v>
      </c>
      <c r="AR50" s="31">
        <f t="shared" si="2"/>
        <v>0</v>
      </c>
      <c r="AS50" s="71"/>
      <c r="AT50" s="71"/>
      <c r="AU50" s="23"/>
    </row>
    <row r="51" spans="1:47" s="17" customFormat="1" ht="30" customHeight="1">
      <c r="A51" s="29"/>
      <c r="B51" s="57" t="s">
        <v>89</v>
      </c>
      <c r="C51" s="22" t="s">
        <v>251</v>
      </c>
      <c r="D51" s="25" t="s">
        <v>220</v>
      </c>
      <c r="E51" s="83" t="s">
        <v>221</v>
      </c>
      <c r="F51" s="88">
        <v>46260</v>
      </c>
      <c r="G51" s="45"/>
      <c r="H51" s="30" t="s">
        <v>26</v>
      </c>
      <c r="I51" s="77">
        <v>0</v>
      </c>
      <c r="J51" s="77">
        <v>0</v>
      </c>
      <c r="K51" s="77">
        <v>0</v>
      </c>
      <c r="L51" s="77">
        <v>0</v>
      </c>
      <c r="M51" s="69">
        <v>0</v>
      </c>
      <c r="N51" s="69"/>
      <c r="O51" s="69">
        <v>0</v>
      </c>
      <c r="P51" s="69"/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8</v>
      </c>
      <c r="Z51" s="77">
        <v>0</v>
      </c>
      <c r="AA51" s="77">
        <v>0</v>
      </c>
      <c r="AB51" s="77">
        <v>0</v>
      </c>
      <c r="AC51" s="77">
        <v>8</v>
      </c>
      <c r="AD51" s="84">
        <v>3</v>
      </c>
      <c r="AE51" s="84">
        <v>0</v>
      </c>
      <c r="AF51" s="84">
        <v>0</v>
      </c>
      <c r="AG51" s="84">
        <v>8</v>
      </c>
      <c r="AH51" s="84">
        <v>0</v>
      </c>
      <c r="AI51" s="84">
        <v>0</v>
      </c>
      <c r="AJ51" s="84">
        <v>0</v>
      </c>
      <c r="AK51" s="32">
        <f t="shared" si="2"/>
        <v>24</v>
      </c>
      <c r="AL51" s="32">
        <f t="shared" si="2"/>
        <v>3</v>
      </c>
      <c r="AM51" s="32">
        <f t="shared" si="2"/>
        <v>0</v>
      </c>
      <c r="AN51" s="32">
        <f t="shared" si="2"/>
        <v>0</v>
      </c>
      <c r="AO51" s="31">
        <f t="shared" si="2"/>
        <v>0</v>
      </c>
      <c r="AP51" s="31">
        <f t="shared" si="2"/>
        <v>0</v>
      </c>
      <c r="AQ51" s="31">
        <f t="shared" si="2"/>
        <v>0</v>
      </c>
      <c r="AR51" s="31">
        <f t="shared" si="2"/>
        <v>0</v>
      </c>
      <c r="AS51" s="71"/>
      <c r="AT51" s="71"/>
      <c r="AU51" s="23"/>
    </row>
    <row r="52" spans="1:47" s="17" customFormat="1" ht="30" customHeight="1">
      <c r="A52" s="29"/>
      <c r="B52" s="57" t="s">
        <v>252</v>
      </c>
      <c r="C52" s="22" t="s">
        <v>253</v>
      </c>
      <c r="D52" s="25" t="s">
        <v>222</v>
      </c>
      <c r="E52" s="83" t="s">
        <v>223</v>
      </c>
      <c r="F52" s="88">
        <v>46260</v>
      </c>
      <c r="G52" s="45"/>
      <c r="H52" s="30" t="s">
        <v>26</v>
      </c>
      <c r="I52" s="77">
        <v>0</v>
      </c>
      <c r="J52" s="77">
        <v>0</v>
      </c>
      <c r="K52" s="77">
        <v>0</v>
      </c>
      <c r="L52" s="77">
        <v>0</v>
      </c>
      <c r="M52" s="69">
        <v>0</v>
      </c>
      <c r="N52" s="69"/>
      <c r="O52" s="69">
        <v>0</v>
      </c>
      <c r="P52" s="69"/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8</v>
      </c>
      <c r="Z52" s="77">
        <v>0</v>
      </c>
      <c r="AA52" s="77">
        <v>0</v>
      </c>
      <c r="AB52" s="77">
        <v>0</v>
      </c>
      <c r="AC52" s="77">
        <v>8</v>
      </c>
      <c r="AD52" s="84">
        <v>0</v>
      </c>
      <c r="AE52" s="84">
        <v>0</v>
      </c>
      <c r="AF52" s="84">
        <v>0</v>
      </c>
      <c r="AG52" s="84">
        <v>8</v>
      </c>
      <c r="AH52" s="84">
        <v>0</v>
      </c>
      <c r="AI52" s="84">
        <v>0</v>
      </c>
      <c r="AJ52" s="84">
        <v>0</v>
      </c>
      <c r="AK52" s="32">
        <f t="shared" si="2"/>
        <v>24</v>
      </c>
      <c r="AL52" s="32">
        <f t="shared" si="2"/>
        <v>0</v>
      </c>
      <c r="AM52" s="32">
        <f t="shared" si="2"/>
        <v>0</v>
      </c>
      <c r="AN52" s="32">
        <f t="shared" si="2"/>
        <v>0</v>
      </c>
      <c r="AO52" s="31">
        <f t="shared" si="2"/>
        <v>0</v>
      </c>
      <c r="AP52" s="31">
        <f t="shared" si="2"/>
        <v>0</v>
      </c>
      <c r="AQ52" s="31">
        <f t="shared" si="2"/>
        <v>0</v>
      </c>
      <c r="AR52" s="31">
        <f t="shared" si="2"/>
        <v>0</v>
      </c>
      <c r="AS52" s="71"/>
      <c r="AT52" s="71"/>
      <c r="AU52" s="23"/>
    </row>
    <row r="53" spans="1:47" s="17" customFormat="1" ht="30" customHeight="1">
      <c r="A53" s="29"/>
      <c r="B53" s="85"/>
      <c r="C53" s="22"/>
      <c r="D53" s="25"/>
      <c r="E53" s="83"/>
      <c r="F53" s="88"/>
      <c r="G53" s="45"/>
      <c r="H53" s="30"/>
      <c r="I53" s="77"/>
      <c r="J53" s="77"/>
      <c r="K53" s="77"/>
      <c r="L53" s="77"/>
      <c r="M53" s="69"/>
      <c r="N53" s="69"/>
      <c r="O53" s="69"/>
      <c r="P53" s="69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84"/>
      <c r="AE53" s="84"/>
      <c r="AF53" s="84"/>
      <c r="AG53" s="84"/>
      <c r="AH53" s="84"/>
      <c r="AI53" s="84"/>
      <c r="AJ53" s="84"/>
      <c r="AK53" s="32">
        <f t="shared" si="2"/>
        <v>0</v>
      </c>
      <c r="AL53" s="32">
        <f t="shared" si="2"/>
        <v>0</v>
      </c>
      <c r="AM53" s="32">
        <f t="shared" si="2"/>
        <v>0</v>
      </c>
      <c r="AN53" s="32">
        <f t="shared" si="2"/>
        <v>0</v>
      </c>
      <c r="AO53" s="31">
        <f t="shared" si="2"/>
        <v>0</v>
      </c>
      <c r="AP53" s="31">
        <f t="shared" si="2"/>
        <v>0</v>
      </c>
      <c r="AQ53" s="31">
        <f t="shared" si="2"/>
        <v>0</v>
      </c>
      <c r="AR53" s="31">
        <f t="shared" si="2"/>
        <v>0</v>
      </c>
      <c r="AS53" s="71"/>
      <c r="AT53" s="71"/>
      <c r="AU53" s="23"/>
    </row>
    <row r="54" spans="1:47" s="17" customFormat="1" ht="30" customHeight="1">
      <c r="A54" s="29"/>
      <c r="B54" s="85"/>
      <c r="C54" s="22"/>
      <c r="D54" s="25"/>
      <c r="E54" s="83"/>
      <c r="F54" s="88"/>
      <c r="G54" s="45"/>
      <c r="H54" s="30"/>
      <c r="I54" s="77"/>
      <c r="J54" s="77"/>
      <c r="K54" s="77"/>
      <c r="L54" s="77"/>
      <c r="M54" s="69"/>
      <c r="N54" s="69"/>
      <c r="O54" s="69"/>
      <c r="P54" s="69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84"/>
      <c r="AE54" s="84"/>
      <c r="AF54" s="84"/>
      <c r="AG54" s="84"/>
      <c r="AH54" s="84"/>
      <c r="AI54" s="84"/>
      <c r="AJ54" s="84"/>
      <c r="AK54" s="32">
        <f t="shared" si="2"/>
        <v>0</v>
      </c>
      <c r="AL54" s="32">
        <f t="shared" si="2"/>
        <v>0</v>
      </c>
      <c r="AM54" s="32">
        <f t="shared" si="2"/>
        <v>0</v>
      </c>
      <c r="AN54" s="32">
        <f t="shared" si="2"/>
        <v>0</v>
      </c>
      <c r="AO54" s="31">
        <f t="shared" si="2"/>
        <v>0</v>
      </c>
      <c r="AP54" s="31">
        <f t="shared" si="2"/>
        <v>0</v>
      </c>
      <c r="AQ54" s="31">
        <f t="shared" si="2"/>
        <v>0</v>
      </c>
      <c r="AR54" s="31">
        <f t="shared" si="2"/>
        <v>0</v>
      </c>
      <c r="AS54" s="71"/>
      <c r="AT54" s="71"/>
      <c r="AU54" s="23"/>
    </row>
    <row r="55" spans="1:47" s="17" customFormat="1" ht="30" customHeight="1">
      <c r="A55" s="29"/>
      <c r="B55" s="85"/>
      <c r="C55" s="22"/>
      <c r="D55" s="25"/>
      <c r="E55" s="83"/>
      <c r="F55" s="88"/>
      <c r="G55" s="45"/>
      <c r="H55" s="30"/>
      <c r="I55" s="77"/>
      <c r="J55" s="77"/>
      <c r="K55" s="77"/>
      <c r="L55" s="77"/>
      <c r="M55" s="69"/>
      <c r="N55" s="69"/>
      <c r="O55" s="69"/>
      <c r="P55" s="69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84"/>
      <c r="AE55" s="84"/>
      <c r="AF55" s="84"/>
      <c r="AG55" s="84"/>
      <c r="AH55" s="84"/>
      <c r="AI55" s="84"/>
      <c r="AJ55" s="84"/>
      <c r="AK55" s="32">
        <f t="shared" si="2"/>
        <v>0</v>
      </c>
      <c r="AL55" s="32">
        <f t="shared" si="2"/>
        <v>0</v>
      </c>
      <c r="AM55" s="32">
        <f t="shared" si="2"/>
        <v>0</v>
      </c>
      <c r="AN55" s="32">
        <f t="shared" si="2"/>
        <v>0</v>
      </c>
      <c r="AO55" s="31">
        <f t="shared" si="2"/>
        <v>0</v>
      </c>
      <c r="AP55" s="31">
        <f t="shared" si="2"/>
        <v>0</v>
      </c>
      <c r="AQ55" s="31">
        <f t="shared" si="2"/>
        <v>0</v>
      </c>
      <c r="AR55" s="31">
        <f t="shared" si="2"/>
        <v>0</v>
      </c>
      <c r="AS55" s="71"/>
      <c r="AT55" s="71"/>
      <c r="AU55" s="23"/>
    </row>
    <row r="56" spans="1:47" s="17" customFormat="1" ht="30" customHeight="1">
      <c r="A56" s="29"/>
      <c r="B56" s="85"/>
      <c r="C56" s="22"/>
      <c r="D56" s="25"/>
      <c r="E56" s="83"/>
      <c r="F56" s="88"/>
      <c r="G56" s="45"/>
      <c r="H56" s="30"/>
      <c r="I56" s="77"/>
      <c r="J56" s="77"/>
      <c r="K56" s="77"/>
      <c r="L56" s="77"/>
      <c r="M56" s="69"/>
      <c r="N56" s="69"/>
      <c r="O56" s="69"/>
      <c r="P56" s="69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84"/>
      <c r="AE56" s="84"/>
      <c r="AF56" s="84"/>
      <c r="AG56" s="84"/>
      <c r="AH56" s="84"/>
      <c r="AI56" s="84"/>
      <c r="AJ56" s="84"/>
      <c r="AK56" s="32">
        <f t="shared" si="2"/>
        <v>0</v>
      </c>
      <c r="AL56" s="32">
        <f t="shared" si="2"/>
        <v>0</v>
      </c>
      <c r="AM56" s="32">
        <f t="shared" si="2"/>
        <v>0</v>
      </c>
      <c r="AN56" s="32">
        <f t="shared" si="2"/>
        <v>0</v>
      </c>
      <c r="AO56" s="31">
        <f t="shared" si="2"/>
        <v>0</v>
      </c>
      <c r="AP56" s="31">
        <f t="shared" si="2"/>
        <v>0</v>
      </c>
      <c r="AQ56" s="31">
        <f t="shared" si="2"/>
        <v>0</v>
      </c>
      <c r="AR56" s="31">
        <f t="shared" si="2"/>
        <v>0</v>
      </c>
      <c r="AS56" s="71"/>
      <c r="AT56" s="71"/>
      <c r="AU56" s="23"/>
    </row>
    <row r="57" spans="1:47" s="17" customFormat="1" ht="30" customHeight="1">
      <c r="A57" s="29"/>
      <c r="B57" s="85"/>
      <c r="C57" s="22"/>
      <c r="D57" s="25"/>
      <c r="E57" s="83"/>
      <c r="F57" s="88"/>
      <c r="G57" s="45"/>
      <c r="H57" s="30"/>
      <c r="I57" s="77"/>
      <c r="J57" s="77"/>
      <c r="K57" s="77"/>
      <c r="L57" s="77"/>
      <c r="M57" s="69"/>
      <c r="N57" s="69"/>
      <c r="O57" s="69"/>
      <c r="P57" s="69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84"/>
      <c r="AE57" s="84"/>
      <c r="AF57" s="84"/>
      <c r="AG57" s="84"/>
      <c r="AH57" s="84"/>
      <c r="AI57" s="84"/>
      <c r="AJ57" s="84"/>
      <c r="AK57" s="32">
        <f t="shared" si="2"/>
        <v>0</v>
      </c>
      <c r="AL57" s="32">
        <f t="shared" si="2"/>
        <v>0</v>
      </c>
      <c r="AM57" s="32">
        <f t="shared" si="2"/>
        <v>0</v>
      </c>
      <c r="AN57" s="32">
        <f t="shared" si="2"/>
        <v>0</v>
      </c>
      <c r="AO57" s="31">
        <f t="shared" si="2"/>
        <v>0</v>
      </c>
      <c r="AP57" s="31">
        <f t="shared" si="2"/>
        <v>0</v>
      </c>
      <c r="AQ57" s="31">
        <f t="shared" si="2"/>
        <v>0</v>
      </c>
      <c r="AR57" s="31">
        <f t="shared" si="2"/>
        <v>0</v>
      </c>
      <c r="AS57" s="71"/>
      <c r="AT57" s="71"/>
      <c r="AU57" s="23"/>
    </row>
    <row r="58" spans="1:47" s="17" customFormat="1" ht="30" customHeight="1">
      <c r="A58" s="29"/>
      <c r="B58" s="85"/>
      <c r="C58" s="22"/>
      <c r="D58" s="25"/>
      <c r="E58" s="83"/>
      <c r="F58" s="87"/>
      <c r="G58" s="45"/>
      <c r="H58" s="30"/>
      <c r="I58" s="77"/>
      <c r="J58" s="77"/>
      <c r="K58" s="77"/>
      <c r="L58" s="77"/>
      <c r="M58" s="69"/>
      <c r="N58" s="69"/>
      <c r="O58" s="69"/>
      <c r="P58" s="69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84"/>
      <c r="AE58" s="84"/>
      <c r="AF58" s="84"/>
      <c r="AG58" s="84"/>
      <c r="AH58" s="84"/>
      <c r="AI58" s="84"/>
      <c r="AJ58" s="84"/>
      <c r="AK58" s="32">
        <f t="shared" si="2"/>
        <v>0</v>
      </c>
      <c r="AL58" s="32">
        <f t="shared" si="2"/>
        <v>0</v>
      </c>
      <c r="AM58" s="32">
        <f t="shared" si="2"/>
        <v>0</v>
      </c>
      <c r="AN58" s="32">
        <f t="shared" si="2"/>
        <v>0</v>
      </c>
      <c r="AO58" s="31">
        <f t="shared" si="2"/>
        <v>0</v>
      </c>
      <c r="AP58" s="31">
        <f t="shared" si="2"/>
        <v>0</v>
      </c>
      <c r="AQ58" s="31">
        <f t="shared" si="2"/>
        <v>0</v>
      </c>
      <c r="AR58" s="31">
        <f t="shared" si="2"/>
        <v>0</v>
      </c>
      <c r="AS58" s="71"/>
      <c r="AT58" s="71"/>
      <c r="AU58" s="23"/>
    </row>
    <row r="59" spans="1:47" s="17" customFormat="1" ht="30" customHeight="1">
      <c r="A59" s="29"/>
      <c r="B59" s="85"/>
      <c r="C59" s="22"/>
      <c r="D59" s="25"/>
      <c r="E59" s="83"/>
      <c r="F59" s="87"/>
      <c r="G59" s="45"/>
      <c r="H59" s="30"/>
      <c r="I59" s="77"/>
      <c r="J59" s="77"/>
      <c r="K59" s="77"/>
      <c r="L59" s="77"/>
      <c r="M59" s="69"/>
      <c r="N59" s="69"/>
      <c r="O59" s="69"/>
      <c r="P59" s="69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84"/>
      <c r="AE59" s="84"/>
      <c r="AF59" s="84"/>
      <c r="AG59" s="84"/>
      <c r="AH59" s="84"/>
      <c r="AI59" s="84"/>
      <c r="AJ59" s="84"/>
      <c r="AK59" s="32">
        <f t="shared" si="2"/>
        <v>0</v>
      </c>
      <c r="AL59" s="32">
        <f t="shared" si="2"/>
        <v>0</v>
      </c>
      <c r="AM59" s="32">
        <f t="shared" si="2"/>
        <v>0</v>
      </c>
      <c r="AN59" s="32">
        <f t="shared" si="2"/>
        <v>0</v>
      </c>
      <c r="AO59" s="31">
        <f t="shared" si="2"/>
        <v>0</v>
      </c>
      <c r="AP59" s="31">
        <f t="shared" si="2"/>
        <v>0</v>
      </c>
      <c r="AQ59" s="31">
        <f t="shared" si="2"/>
        <v>0</v>
      </c>
      <c r="AR59" s="31">
        <f t="shared" si="2"/>
        <v>0</v>
      </c>
      <c r="AS59" s="71"/>
      <c r="AT59" s="71"/>
      <c r="AU59" s="23"/>
    </row>
    <row r="60" spans="1:47" s="36" customFormat="1" ht="43.2" customHeight="1">
      <c r="A60" s="33"/>
      <c r="B60" s="65"/>
      <c r="C60" s="66" t="s">
        <v>1</v>
      </c>
      <c r="D60" s="67"/>
      <c r="E60" s="3"/>
      <c r="F60" s="67"/>
      <c r="G60" s="67"/>
      <c r="H60" s="68"/>
      <c r="I60" s="130">
        <v>175.5</v>
      </c>
      <c r="J60" s="130">
        <v>21.5</v>
      </c>
      <c r="K60" s="130">
        <v>16</v>
      </c>
      <c r="L60" s="130">
        <v>0</v>
      </c>
      <c r="M60" s="130">
        <v>49.5</v>
      </c>
      <c r="N60" s="130">
        <v>0</v>
      </c>
      <c r="O60" s="130">
        <v>0</v>
      </c>
      <c r="P60" s="130">
        <v>0</v>
      </c>
      <c r="Q60" s="130">
        <v>201</v>
      </c>
      <c r="R60" s="130">
        <v>59</v>
      </c>
      <c r="S60" s="130">
        <v>16</v>
      </c>
      <c r="T60" s="130">
        <v>4</v>
      </c>
      <c r="U60" s="130">
        <v>224</v>
      </c>
      <c r="V60" s="130">
        <v>80.5</v>
      </c>
      <c r="W60" s="130">
        <v>16</v>
      </c>
      <c r="X60" s="130">
        <v>4</v>
      </c>
      <c r="Y60" s="130">
        <v>280</v>
      </c>
      <c r="Z60" s="130">
        <v>85.5</v>
      </c>
      <c r="AA60" s="130">
        <v>16</v>
      </c>
      <c r="AB60" s="130">
        <v>4</v>
      </c>
      <c r="AC60" s="130">
        <v>280</v>
      </c>
      <c r="AD60" s="130">
        <v>86</v>
      </c>
      <c r="AE60" s="130">
        <v>16</v>
      </c>
      <c r="AF60" s="130">
        <v>4</v>
      </c>
      <c r="AG60" s="130">
        <v>287.5</v>
      </c>
      <c r="AH60" s="130">
        <v>89</v>
      </c>
      <c r="AI60" s="130">
        <v>16</v>
      </c>
      <c r="AJ60" s="130">
        <v>4</v>
      </c>
      <c r="AK60" s="34">
        <f>SUM(AK11:AK59)</f>
        <v>1448</v>
      </c>
      <c r="AL60" s="34">
        <f>SUM(AL11:AL59)</f>
        <v>421.5</v>
      </c>
      <c r="AM60" s="34">
        <f>SUM(AM11:AM59)</f>
        <v>96</v>
      </c>
      <c r="AN60" s="34">
        <f>SUM(AN11:AN59)</f>
        <v>20</v>
      </c>
      <c r="AO60" s="70">
        <f>SUM(AO11:AO59)</f>
        <v>49.5</v>
      </c>
      <c r="AP60" s="34">
        <f>SUM(AP11:AP59)</f>
        <v>0</v>
      </c>
      <c r="AQ60" s="34">
        <f>SUM(AQ11:AQ59)</f>
        <v>0</v>
      </c>
      <c r="AR60" s="34">
        <f>SUM(AR11:AR59)</f>
        <v>0</v>
      </c>
      <c r="AS60" s="72">
        <f>SUM(AS11:AS30)</f>
        <v>0</v>
      </c>
      <c r="AT60" s="72">
        <f>SUM(AT11:AT30)</f>
        <v>0</v>
      </c>
      <c r="AU60" s="35"/>
    </row>
  </sheetData>
  <mergeCells count="25">
    <mergeCell ref="A4:AL4"/>
    <mergeCell ref="AK7:AR8"/>
    <mergeCell ref="AS7:AT7"/>
    <mergeCell ref="AU7:AU10"/>
    <mergeCell ref="B7:B10"/>
    <mergeCell ref="M8:P8"/>
    <mergeCell ref="Q8:T8"/>
    <mergeCell ref="U8:X8"/>
    <mergeCell ref="G7:G10"/>
    <mergeCell ref="Y8:AB8"/>
    <mergeCell ref="AG8:AJ8"/>
    <mergeCell ref="F7:F10"/>
    <mergeCell ref="I7:L7"/>
    <mergeCell ref="AG7:AJ7"/>
    <mergeCell ref="AC7:AF7"/>
    <mergeCell ref="AC8:AF8"/>
    <mergeCell ref="M7:P7"/>
    <mergeCell ref="Q7:T7"/>
    <mergeCell ref="U7:X7"/>
    <mergeCell ref="Y7:AB7"/>
    <mergeCell ref="A7:A10"/>
    <mergeCell ref="C7:C10"/>
    <mergeCell ref="E7:E10"/>
    <mergeCell ref="H7:H10"/>
    <mergeCell ref="I8:L8"/>
  </mergeCells>
  <phoneticPr fontId="5" type="noConversion"/>
  <conditionalFormatting sqref="E1:E1048576">
    <cfRule type="duplicateValues" dxfId="8" priority="1"/>
  </conditionalFormatting>
  <conditionalFormatting sqref="E61:G1048576 E8:E10 E1:G7 E11:G26 F27:G60">
    <cfRule type="duplicateValues" dxfId="7" priority="4"/>
  </conditionalFormatting>
  <conditionalFormatting sqref="I7:I9 AK10:AR10 M7:M9 Q7:Q9 U7:U9 Y7:Y9 AC7:AC9 AG7:AG9 I10:AJ60">
    <cfRule type="expression" dxfId="6" priority="3">
      <formula>IF(OR(I$10="CN",I$10="OT CN"),1,0)</formula>
    </cfRule>
  </conditionalFormatting>
  <conditionalFormatting sqref="E27:E60">
    <cfRule type="duplicateValues" dxfId="5" priority="5"/>
  </conditionalFormatting>
  <printOptions horizontalCentered="1"/>
  <pageMargins left="0" right="0" top="0" bottom="0" header="0" footer="0"/>
  <pageSetup paperSize="8" scale="54" orientation="landscape" r:id="rId1"/>
  <colBreaks count="1" manualBreakCount="1">
    <brk id="132" max="33" man="1"/>
  </col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D870A61-6294-4DCE-A867-FDD92528DC5E}">
            <xm:f>NOT(ISERROR(SEARCH(#REF!,C11)))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C27:D59 F27:G59 C11:G26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D3C-6F9B-4D10-93D9-F0FD65CE4B1D}">
  <dimension ref="A1:G45"/>
  <sheetViews>
    <sheetView topLeftCell="A33" zoomScale="70" zoomScaleNormal="70" workbookViewId="0">
      <selection activeCell="F34" sqref="F34"/>
    </sheetView>
  </sheetViews>
  <sheetFormatPr defaultColWidth="8.69921875" defaultRowHeight="15.6"/>
  <cols>
    <col min="1" max="1" width="5.796875" style="10" customWidth="1"/>
    <col min="2" max="2" width="14.796875" style="4" customWidth="1"/>
    <col min="3" max="3" width="20.69921875" style="10" customWidth="1"/>
    <col min="4" max="4" width="23.69921875" style="49" customWidth="1"/>
    <col min="5" max="5" width="20" style="9" customWidth="1"/>
    <col min="6" max="6" width="28.69921875" style="10" customWidth="1"/>
    <col min="7" max="7" width="32.59765625" style="10" customWidth="1"/>
    <col min="8" max="9" width="8.69921875" style="10"/>
    <col min="10" max="10" width="15.19921875" style="10" customWidth="1"/>
    <col min="11" max="11" width="19.5" style="10" customWidth="1"/>
    <col min="12" max="12" width="16.19921875" style="10" customWidth="1"/>
    <col min="13" max="13" width="17.796875" style="10" customWidth="1"/>
    <col min="14" max="16384" width="8.69921875" style="10"/>
  </cols>
  <sheetData>
    <row r="1" spans="1:7" ht="20.25" customHeight="1">
      <c r="A1" s="90" t="s">
        <v>24</v>
      </c>
      <c r="B1" s="90"/>
      <c r="C1" s="90"/>
      <c r="D1" s="91"/>
      <c r="E1" s="90"/>
    </row>
    <row r="2" spans="1:7" ht="20.25" customHeight="1">
      <c r="A2" s="92"/>
      <c r="B2" s="92"/>
      <c r="C2" s="92"/>
      <c r="D2" s="93"/>
      <c r="E2" s="92"/>
    </row>
    <row r="3" spans="1:7" s="40" customFormat="1" ht="26.25" customHeight="1">
      <c r="A3" s="26" t="s">
        <v>4</v>
      </c>
      <c r="B3" s="27" t="s">
        <v>9</v>
      </c>
      <c r="C3" s="26" t="s">
        <v>8</v>
      </c>
      <c r="D3" s="48" t="s">
        <v>11</v>
      </c>
      <c r="E3" s="28" t="s">
        <v>10</v>
      </c>
      <c r="F3" s="37" t="s">
        <v>25</v>
      </c>
      <c r="G3" s="40" t="s">
        <v>108</v>
      </c>
    </row>
    <row r="4" spans="1:7" ht="28.5" customHeight="1">
      <c r="A4" s="2">
        <v>1</v>
      </c>
      <c r="B4" s="3" t="s">
        <v>30</v>
      </c>
      <c r="C4" s="39" t="s">
        <v>29</v>
      </c>
      <c r="D4" s="6" t="s">
        <v>33</v>
      </c>
      <c r="E4" s="5" t="s">
        <v>27</v>
      </c>
      <c r="F4" s="2"/>
    </row>
    <row r="5" spans="1:7" ht="28.5" customHeight="1">
      <c r="A5" s="2">
        <v>2</v>
      </c>
      <c r="B5" s="47" t="s">
        <v>34</v>
      </c>
      <c r="C5" s="39" t="s">
        <v>35</v>
      </c>
      <c r="D5" s="6" t="s">
        <v>43</v>
      </c>
      <c r="E5" s="38" t="s">
        <v>27</v>
      </c>
      <c r="F5" s="39"/>
    </row>
    <row r="6" spans="1:7" ht="31.05" customHeight="1">
      <c r="A6" s="2">
        <v>3</v>
      </c>
      <c r="B6" s="3" t="s">
        <v>39</v>
      </c>
      <c r="C6" s="39" t="s">
        <v>38</v>
      </c>
      <c r="D6" s="6" t="s">
        <v>42</v>
      </c>
      <c r="E6" s="38" t="s">
        <v>36</v>
      </c>
      <c r="F6" s="39"/>
    </row>
    <row r="7" spans="1:7" ht="31.05" customHeight="1">
      <c r="A7" s="2">
        <v>4</v>
      </c>
      <c r="B7" s="3" t="s">
        <v>46</v>
      </c>
      <c r="C7" s="39" t="s">
        <v>44</v>
      </c>
      <c r="D7" s="6" t="s">
        <v>49</v>
      </c>
      <c r="E7" s="38" t="s">
        <v>50</v>
      </c>
      <c r="F7" s="39"/>
    </row>
    <row r="8" spans="1:7" ht="31.05" customHeight="1">
      <c r="A8" s="2">
        <v>5</v>
      </c>
      <c r="B8" s="3" t="s">
        <v>47</v>
      </c>
      <c r="C8" s="39" t="s">
        <v>45</v>
      </c>
      <c r="D8" s="6" t="s">
        <v>48</v>
      </c>
      <c r="E8" s="38" t="s">
        <v>27</v>
      </c>
      <c r="F8" s="39"/>
    </row>
    <row r="9" spans="1:7" ht="31.05" customHeight="1">
      <c r="A9" s="2">
        <v>6</v>
      </c>
      <c r="B9" s="3" t="s">
        <v>51</v>
      </c>
      <c r="C9" s="39" t="s">
        <v>52</v>
      </c>
      <c r="D9" s="6" t="s">
        <v>55</v>
      </c>
      <c r="E9" s="38" t="s">
        <v>40</v>
      </c>
      <c r="F9" s="39"/>
    </row>
    <row r="10" spans="1:7" ht="26.4" customHeight="1">
      <c r="A10" s="2">
        <v>7</v>
      </c>
      <c r="B10" s="3" t="s">
        <v>95</v>
      </c>
      <c r="C10" s="39" t="s">
        <v>96</v>
      </c>
      <c r="D10" s="6" t="s">
        <v>107</v>
      </c>
      <c r="E10" s="38" t="s">
        <v>27</v>
      </c>
      <c r="F10" s="39"/>
      <c r="G10" s="10" t="str">
        <f>VLOOKUP(B10,'[1]Danh sách ứng viên'!$B$2:$F$39,5,0)</f>
        <v>0978553273</v>
      </c>
    </row>
    <row r="11" spans="1:7" ht="26.4" customHeight="1">
      <c r="A11" s="2">
        <v>8</v>
      </c>
      <c r="B11" s="3" t="s">
        <v>97</v>
      </c>
      <c r="C11" s="39" t="s">
        <v>104</v>
      </c>
      <c r="D11" s="6" t="s">
        <v>109</v>
      </c>
      <c r="E11" s="38" t="s">
        <v>27</v>
      </c>
      <c r="F11" s="39"/>
      <c r="G11" s="10" t="str">
        <f>VLOOKUP(B11,'[1]Danh sách ứng viên'!$B$2:$F$39,5,0)</f>
        <v>0335347870</v>
      </c>
    </row>
    <row r="12" spans="1:7" ht="27" customHeight="1">
      <c r="A12" s="2">
        <v>9</v>
      </c>
      <c r="B12" s="3" t="s">
        <v>98</v>
      </c>
      <c r="C12" s="39" t="s">
        <v>99</v>
      </c>
      <c r="D12" s="6" t="s">
        <v>128</v>
      </c>
      <c r="E12" s="38" t="s">
        <v>27</v>
      </c>
      <c r="F12" s="39"/>
      <c r="G12" s="10" t="s">
        <v>129</v>
      </c>
    </row>
    <row r="13" spans="1:7" ht="27" customHeight="1">
      <c r="A13" s="2">
        <v>10</v>
      </c>
      <c r="B13" s="3" t="s">
        <v>100</v>
      </c>
      <c r="C13" s="39" t="s">
        <v>101</v>
      </c>
      <c r="D13" s="6" t="s">
        <v>130</v>
      </c>
      <c r="E13" s="38" t="s">
        <v>27</v>
      </c>
      <c r="F13" s="39"/>
      <c r="G13" s="10" t="s">
        <v>130</v>
      </c>
    </row>
    <row r="14" spans="1:7" ht="27" customHeight="1">
      <c r="A14" s="2">
        <v>11</v>
      </c>
      <c r="B14" s="3" t="s">
        <v>110</v>
      </c>
      <c r="C14" s="39" t="s">
        <v>111</v>
      </c>
      <c r="D14" s="6" t="s">
        <v>131</v>
      </c>
      <c r="E14" s="38" t="s">
        <v>27</v>
      </c>
      <c r="F14" s="39"/>
      <c r="G14" s="10" t="s">
        <v>132</v>
      </c>
    </row>
    <row r="15" spans="1:7" ht="27" customHeight="1">
      <c r="A15" s="2">
        <v>12</v>
      </c>
      <c r="B15" s="3" t="s">
        <v>112</v>
      </c>
      <c r="C15" s="39" t="s">
        <v>113</v>
      </c>
      <c r="D15" s="6" t="s">
        <v>133</v>
      </c>
      <c r="E15" s="38" t="s">
        <v>27</v>
      </c>
      <c r="F15" s="39"/>
      <c r="G15" s="10" t="s">
        <v>134</v>
      </c>
    </row>
    <row r="16" spans="1:7" ht="27" customHeight="1">
      <c r="A16" s="2">
        <v>13</v>
      </c>
      <c r="B16" s="3" t="s">
        <v>114</v>
      </c>
      <c r="C16" s="39" t="s">
        <v>115</v>
      </c>
      <c r="D16" s="6" t="s">
        <v>135</v>
      </c>
      <c r="E16" s="38" t="s">
        <v>27</v>
      </c>
      <c r="F16" s="39"/>
      <c r="G16" s="10" t="s">
        <v>136</v>
      </c>
    </row>
    <row r="17" spans="1:7" ht="28.8" customHeight="1">
      <c r="A17" s="2">
        <v>14</v>
      </c>
      <c r="B17" s="3" t="s">
        <v>120</v>
      </c>
      <c r="C17" s="39" t="s">
        <v>121</v>
      </c>
      <c r="D17" s="6" t="s">
        <v>137</v>
      </c>
      <c r="E17" s="38" t="s">
        <v>27</v>
      </c>
      <c r="F17" s="39"/>
    </row>
    <row r="18" spans="1:7" ht="28.8" customHeight="1">
      <c r="A18" s="2">
        <v>15</v>
      </c>
      <c r="B18" s="3" t="s">
        <v>123</v>
      </c>
      <c r="C18" s="39" t="s">
        <v>124</v>
      </c>
      <c r="D18" s="6" t="s">
        <v>139</v>
      </c>
      <c r="E18" s="38" t="s">
        <v>27</v>
      </c>
      <c r="F18" s="39"/>
    </row>
    <row r="19" spans="1:7" ht="29.4" customHeight="1">
      <c r="A19" s="2">
        <v>16</v>
      </c>
      <c r="B19" s="3" t="s">
        <v>126</v>
      </c>
      <c r="C19" s="39" t="s">
        <v>127</v>
      </c>
      <c r="D19" s="6" t="s">
        <v>138</v>
      </c>
      <c r="E19" s="38" t="s">
        <v>27</v>
      </c>
      <c r="F19" s="39"/>
    </row>
    <row r="20" spans="1:7" s="82" customFormat="1" ht="31.2" customHeight="1">
      <c r="A20" s="2">
        <v>17</v>
      </c>
      <c r="B20" s="79" t="s">
        <v>140</v>
      </c>
      <c r="C20" s="80" t="s">
        <v>141</v>
      </c>
      <c r="D20" s="78" t="s">
        <v>157</v>
      </c>
      <c r="E20" s="81" t="s">
        <v>27</v>
      </c>
      <c r="F20" s="80"/>
      <c r="G20" s="82" t="s">
        <v>147</v>
      </c>
    </row>
    <row r="21" spans="1:7" ht="31.2" customHeight="1">
      <c r="A21" s="2">
        <v>18</v>
      </c>
      <c r="B21" s="3" t="s">
        <v>142</v>
      </c>
      <c r="C21" s="39" t="s">
        <v>143</v>
      </c>
      <c r="D21" s="6" t="s">
        <v>148</v>
      </c>
      <c r="E21" s="38" t="s">
        <v>27</v>
      </c>
      <c r="F21" s="39"/>
      <c r="G21" s="10" t="s">
        <v>148</v>
      </c>
    </row>
    <row r="22" spans="1:7" ht="31.2" customHeight="1">
      <c r="A22" s="2">
        <v>19</v>
      </c>
      <c r="B22" s="3" t="s">
        <v>144</v>
      </c>
      <c r="C22" s="39" t="s">
        <v>169</v>
      </c>
      <c r="D22" s="6" t="s">
        <v>149</v>
      </c>
      <c r="E22" s="38" t="s">
        <v>27</v>
      </c>
      <c r="F22" s="39"/>
      <c r="G22" s="10" t="s">
        <v>149</v>
      </c>
    </row>
    <row r="23" spans="1:7" ht="33" customHeight="1">
      <c r="A23" s="2">
        <v>20</v>
      </c>
      <c r="B23" s="3" t="s">
        <v>145</v>
      </c>
      <c r="C23" s="39" t="s">
        <v>146</v>
      </c>
      <c r="D23" s="6" t="s">
        <v>156</v>
      </c>
      <c r="E23" s="38" t="s">
        <v>27</v>
      </c>
      <c r="F23" s="39"/>
      <c r="G23" s="10" t="s">
        <v>150</v>
      </c>
    </row>
    <row r="24" spans="1:7" ht="33" customHeight="1">
      <c r="A24" s="2">
        <v>21</v>
      </c>
      <c r="B24" s="3" t="s">
        <v>170</v>
      </c>
      <c r="C24" s="39" t="s">
        <v>171</v>
      </c>
      <c r="D24" s="6" t="s">
        <v>187</v>
      </c>
      <c r="E24" s="38" t="s">
        <v>188</v>
      </c>
      <c r="F24" s="39"/>
      <c r="G24" s="10" t="s">
        <v>181</v>
      </c>
    </row>
    <row r="25" spans="1:7" ht="33" customHeight="1">
      <c r="A25" s="2">
        <v>22</v>
      </c>
      <c r="B25" s="3" t="s">
        <v>172</v>
      </c>
      <c r="C25" s="39" t="s">
        <v>173</v>
      </c>
      <c r="D25" s="6" t="s">
        <v>186</v>
      </c>
      <c r="E25" s="38" t="s">
        <v>54</v>
      </c>
      <c r="F25" s="39"/>
      <c r="G25" s="10" t="s">
        <v>182</v>
      </c>
    </row>
    <row r="26" spans="1:7" ht="33" customHeight="1">
      <c r="A26" s="2">
        <v>23</v>
      </c>
      <c r="B26" s="3" t="s">
        <v>174</v>
      </c>
      <c r="C26" s="39" t="s">
        <v>175</v>
      </c>
      <c r="D26" s="6" t="s">
        <v>183</v>
      </c>
      <c r="E26" s="38" t="s">
        <v>27</v>
      </c>
      <c r="F26" s="39"/>
      <c r="G26" s="10" t="s">
        <v>183</v>
      </c>
    </row>
    <row r="27" spans="1:7" ht="33" customHeight="1">
      <c r="A27" s="2">
        <v>24</v>
      </c>
      <c r="B27" s="3" t="s">
        <v>176</v>
      </c>
      <c r="C27" s="39" t="s">
        <v>177</v>
      </c>
      <c r="D27" s="6" t="s">
        <v>189</v>
      </c>
      <c r="E27" s="38" t="s">
        <v>27</v>
      </c>
      <c r="F27" s="39"/>
      <c r="G27" s="10" t="s">
        <v>184</v>
      </c>
    </row>
    <row r="28" spans="1:7" ht="33.6" customHeight="1">
      <c r="A28" s="2">
        <v>25</v>
      </c>
      <c r="B28" s="3" t="s">
        <v>178</v>
      </c>
      <c r="C28" s="39" t="s">
        <v>179</v>
      </c>
      <c r="D28" s="6" t="s">
        <v>190</v>
      </c>
      <c r="E28" s="38" t="s">
        <v>40</v>
      </c>
      <c r="F28" s="39"/>
      <c r="G28" s="10" t="s">
        <v>185</v>
      </c>
    </row>
    <row r="29" spans="1:7" ht="33.6" customHeight="1">
      <c r="A29" s="2">
        <v>26</v>
      </c>
      <c r="B29" s="3" t="s">
        <v>224</v>
      </c>
      <c r="C29" s="39" t="s">
        <v>225</v>
      </c>
      <c r="D29" s="6" t="s">
        <v>270</v>
      </c>
      <c r="E29" s="38" t="s">
        <v>271</v>
      </c>
      <c r="F29" s="39"/>
    </row>
    <row r="30" spans="1:7" ht="33.6" customHeight="1">
      <c r="A30" s="2">
        <v>27</v>
      </c>
      <c r="B30" s="3" t="s">
        <v>226</v>
      </c>
      <c r="C30" s="39" t="s">
        <v>227</v>
      </c>
      <c r="D30" s="6" t="s">
        <v>269</v>
      </c>
      <c r="E30" s="38" t="s">
        <v>40</v>
      </c>
      <c r="F30" s="39"/>
    </row>
    <row r="31" spans="1:7" ht="33.6" customHeight="1">
      <c r="A31" s="2">
        <v>28</v>
      </c>
      <c r="B31" s="3" t="s">
        <v>228</v>
      </c>
      <c r="C31" s="39" t="s">
        <v>229</v>
      </c>
      <c r="D31" s="6" t="s">
        <v>268</v>
      </c>
      <c r="E31" s="38" t="s">
        <v>27</v>
      </c>
      <c r="F31" s="39"/>
    </row>
    <row r="32" spans="1:7" ht="33.6" customHeight="1">
      <c r="A32" s="2">
        <v>29</v>
      </c>
      <c r="B32" s="3" t="s">
        <v>230</v>
      </c>
      <c r="C32" s="39" t="s">
        <v>231</v>
      </c>
      <c r="D32" s="6" t="s">
        <v>264</v>
      </c>
      <c r="E32" s="38" t="s">
        <v>27</v>
      </c>
      <c r="F32" s="39"/>
    </row>
    <row r="33" spans="1:6" ht="33.6" customHeight="1">
      <c r="A33" s="2">
        <v>30</v>
      </c>
      <c r="B33" s="3" t="s">
        <v>232</v>
      </c>
      <c r="C33" s="39" t="s">
        <v>233</v>
      </c>
      <c r="D33" s="6" t="s">
        <v>259</v>
      </c>
      <c r="E33" s="38" t="s">
        <v>260</v>
      </c>
      <c r="F33" s="39"/>
    </row>
    <row r="34" spans="1:6" ht="33.6" customHeight="1">
      <c r="A34" s="2">
        <v>31</v>
      </c>
      <c r="B34" s="3" t="s">
        <v>234</v>
      </c>
      <c r="C34" s="39" t="s">
        <v>235</v>
      </c>
      <c r="D34" s="6" t="s">
        <v>263</v>
      </c>
      <c r="E34" s="38" t="s">
        <v>27</v>
      </c>
      <c r="F34" s="39"/>
    </row>
    <row r="35" spans="1:6" ht="33.6" customHeight="1">
      <c r="A35" s="2">
        <v>32</v>
      </c>
      <c r="B35" s="3" t="s">
        <v>203</v>
      </c>
      <c r="C35" s="39" t="s">
        <v>143</v>
      </c>
      <c r="D35" s="6" t="s">
        <v>254</v>
      </c>
      <c r="E35" s="38" t="s">
        <v>27</v>
      </c>
      <c r="F35" s="39"/>
    </row>
    <row r="36" spans="1:6" ht="33.6" customHeight="1">
      <c r="A36" s="2">
        <v>33</v>
      </c>
      <c r="B36" s="3" t="s">
        <v>204</v>
      </c>
      <c r="C36" s="39" t="s">
        <v>205</v>
      </c>
      <c r="D36" s="6" t="s">
        <v>255</v>
      </c>
      <c r="E36" s="38" t="s">
        <v>53</v>
      </c>
      <c r="F36" s="39"/>
    </row>
    <row r="37" spans="1:6" ht="33.6" customHeight="1">
      <c r="A37" s="2">
        <v>34</v>
      </c>
      <c r="B37" s="3" t="s">
        <v>206</v>
      </c>
      <c r="C37" s="39" t="s">
        <v>207</v>
      </c>
      <c r="D37" s="6" t="s">
        <v>258</v>
      </c>
      <c r="E37" s="38" t="s">
        <v>27</v>
      </c>
      <c r="F37" s="39"/>
    </row>
    <row r="38" spans="1:6" ht="33.6" customHeight="1">
      <c r="A38" s="2">
        <v>35</v>
      </c>
      <c r="B38" s="3" t="s">
        <v>208</v>
      </c>
      <c r="C38" s="39" t="s">
        <v>209</v>
      </c>
      <c r="D38" s="6" t="s">
        <v>256</v>
      </c>
      <c r="E38" s="131" t="s">
        <v>257</v>
      </c>
      <c r="F38" s="39"/>
    </row>
    <row r="39" spans="1:6" ht="33.6" customHeight="1">
      <c r="A39" s="2">
        <v>36</v>
      </c>
      <c r="B39" s="3" t="s">
        <v>210</v>
      </c>
      <c r="C39" s="39" t="s">
        <v>211</v>
      </c>
      <c r="D39" s="6" t="s">
        <v>261</v>
      </c>
      <c r="E39" s="38" t="s">
        <v>260</v>
      </c>
      <c r="F39" s="39"/>
    </row>
    <row r="40" spans="1:6" ht="33.6" customHeight="1">
      <c r="A40" s="2">
        <v>37</v>
      </c>
      <c r="B40" s="3" t="s">
        <v>212</v>
      </c>
      <c r="C40" s="39" t="s">
        <v>213</v>
      </c>
      <c r="D40" s="6" t="s">
        <v>265</v>
      </c>
      <c r="E40" s="38" t="s">
        <v>27</v>
      </c>
      <c r="F40" s="39"/>
    </row>
    <row r="41" spans="1:6" ht="33.6" customHeight="1">
      <c r="A41" s="2">
        <v>38</v>
      </c>
      <c r="B41" s="3" t="s">
        <v>214</v>
      </c>
      <c r="C41" s="39" t="s">
        <v>215</v>
      </c>
      <c r="D41" s="133" t="s">
        <v>266</v>
      </c>
      <c r="E41" s="134" t="s">
        <v>257</v>
      </c>
      <c r="F41" s="39"/>
    </row>
    <row r="42" spans="1:6" ht="33.6" customHeight="1">
      <c r="A42" s="2">
        <v>39</v>
      </c>
      <c r="B42" s="3" t="s">
        <v>216</v>
      </c>
      <c r="C42" s="39" t="s">
        <v>217</v>
      </c>
      <c r="D42" s="132">
        <v>104883803341</v>
      </c>
      <c r="E42" s="134" t="s">
        <v>257</v>
      </c>
      <c r="F42" s="39"/>
    </row>
    <row r="43" spans="1:6" ht="33.6" customHeight="1">
      <c r="A43" s="2">
        <v>40</v>
      </c>
      <c r="B43" s="3" t="s">
        <v>218</v>
      </c>
      <c r="C43" s="39" t="s">
        <v>219</v>
      </c>
      <c r="D43" s="133" t="s">
        <v>262</v>
      </c>
      <c r="E43" s="38" t="s">
        <v>40</v>
      </c>
      <c r="F43" s="39"/>
    </row>
    <row r="44" spans="1:6" ht="33.6" customHeight="1">
      <c r="A44" s="2">
        <v>41</v>
      </c>
      <c r="B44" s="3" t="s">
        <v>220</v>
      </c>
      <c r="C44" s="39" t="s">
        <v>221</v>
      </c>
      <c r="D44" s="133" t="s">
        <v>267</v>
      </c>
      <c r="E44" s="38" t="s">
        <v>40</v>
      </c>
      <c r="F44" s="39"/>
    </row>
    <row r="45" spans="1:6" ht="33.6" customHeight="1">
      <c r="A45" s="2">
        <v>42</v>
      </c>
      <c r="B45" s="3" t="s">
        <v>222</v>
      </c>
      <c r="C45" s="39" t="s">
        <v>223</v>
      </c>
      <c r="D45" s="133">
        <v>1051715453</v>
      </c>
      <c r="E45" s="38" t="s">
        <v>40</v>
      </c>
      <c r="F45" s="39"/>
    </row>
  </sheetData>
  <autoFilter ref="A3:F45" xr:uid="{B725DD3C-6F9B-4D10-93D9-F0FD65CE4B1D}">
    <sortState xmlns:xlrd2="http://schemas.microsoft.com/office/spreadsheetml/2017/richdata2" ref="A4:F9">
      <sortCondition sortBy="cellColor" ref="C3" dxfId="11"/>
    </sortState>
  </autoFilter>
  <mergeCells count="1">
    <mergeCell ref="A1:E2"/>
  </mergeCells>
  <conditionalFormatting sqref="B1:B1048576">
    <cfRule type="duplicateValues" dxfId="4" priority="9"/>
  </conditionalFormatting>
  <conditionalFormatting sqref="C1:C1048576">
    <cfRule type="duplicateValues" dxfId="3" priority="4"/>
    <cfRule type="duplicateValues" dxfId="2" priority="21"/>
  </conditionalFormatting>
  <conditionalFormatting sqref="G10:G11">
    <cfRule type="duplicateValues" dxfId="1" priority="1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BCC</vt:lpstr>
      <vt:lpstr>STK</vt:lpstr>
      <vt:lpstr>BCC!Print_Area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Cường Nguyễn văn</cp:lastModifiedBy>
  <cp:lastPrinted>2020-12-24T07:41:52Z</cp:lastPrinted>
  <dcterms:created xsi:type="dcterms:W3CDTF">2019-01-05T09:11:00Z</dcterms:created>
  <dcterms:modified xsi:type="dcterms:W3CDTF">2026-08-31T06:43:15Z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  <property fmtid="{D5CDD505-2E9C-101B-9397-08002B2CF9AE}" pid="3" name="KSOReadingLayout">
    <vt:bool>false</vt:bool>
  </property>
</Properties>
</file>